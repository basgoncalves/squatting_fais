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2.xml" ContentType="application/vnd.openxmlformats-officedocument.spreadsheetml.comments+xml"/>
  <Override PartName="/xl/tables/table7.xml" ContentType="application/vnd.openxmlformats-officedocument.spreadsheetml.tab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research_data\Projects\squatting_fais\"/>
    </mc:Choice>
  </mc:AlternateContent>
  <xr:revisionPtr revIDLastSave="0" documentId="13_ncr:1_{7E2CEF6C-F7C1-4689-9D80-2821F3376766}" xr6:coauthVersionLast="47" xr6:coauthVersionMax="47" xr10:uidLastSave="{00000000-0000-0000-0000-000000000000}"/>
  <bookViews>
    <workbookView xWindow="-120" yWindow="-120" windowWidth="29040" windowHeight="15720" tabRatio="798" activeTab="4" xr2:uid="{00000000-000D-0000-FFFF-FFFF00000000}"/>
  </bookViews>
  <sheets>
    <sheet name="Demographics" sheetId="1" r:id="rId1"/>
    <sheet name="Next steps" sheetId="9" r:id="rId2"/>
    <sheet name="Marker weighings" sheetId="11" r:id="rId3"/>
    <sheet name="Processing" sheetId="7" r:id="rId4"/>
    <sheet name="Events" sheetId="12" r:id="rId5"/>
    <sheet name="PreviousTreatments" sheetId="3" r:id="rId6"/>
    <sheet name="iHOT" sheetId="4" r:id="rId7"/>
    <sheet name="HAGOS" sheetId="5" r:id="rId8"/>
    <sheet name="Pain" sheetId="6" r:id="rId9"/>
    <sheet name="Add&amp;GracEMGLocation" sheetId="8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8" l="1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D3" i="8"/>
  <c r="C3" i="8"/>
  <c r="B3" i="8"/>
  <c r="E2" i="8"/>
  <c r="E11" i="8" s="1"/>
  <c r="D2" i="8"/>
  <c r="D11" i="8" s="1"/>
  <c r="C2" i="8"/>
  <c r="C11" i="8" s="1"/>
  <c r="B2" i="8"/>
  <c r="B11" i="8" s="1"/>
  <c r="U80" i="6"/>
  <c r="T80" i="6"/>
  <c r="S80" i="6"/>
  <c r="R80" i="6"/>
  <c r="U79" i="6"/>
  <c r="T79" i="6"/>
  <c r="S79" i="6"/>
  <c r="R79" i="6"/>
  <c r="AG78" i="6"/>
  <c r="AF78" i="6"/>
  <c r="AE78" i="6"/>
  <c r="AD78" i="6"/>
  <c r="AC78" i="6"/>
  <c r="AB78" i="6"/>
  <c r="AA78" i="6"/>
  <c r="Z78" i="6"/>
  <c r="Y78" i="6"/>
  <c r="X78" i="6"/>
  <c r="W78" i="6"/>
  <c r="V78" i="6"/>
  <c r="U78" i="6"/>
  <c r="T78" i="6"/>
  <c r="S78" i="6"/>
  <c r="R78" i="6"/>
  <c r="Q78" i="6"/>
  <c r="P78" i="6"/>
  <c r="O78" i="6"/>
  <c r="N78" i="6"/>
  <c r="L78" i="6"/>
  <c r="K78" i="6"/>
  <c r="J78" i="6"/>
  <c r="I78" i="6"/>
  <c r="H78" i="6"/>
  <c r="G78" i="6"/>
  <c r="F78" i="6"/>
  <c r="E78" i="6"/>
  <c r="D78" i="6"/>
  <c r="C78" i="6"/>
  <c r="AG77" i="6"/>
  <c r="AF77" i="6"/>
  <c r="AE77" i="6"/>
  <c r="AD77" i="6"/>
  <c r="AC77" i="6"/>
  <c r="AB77" i="6"/>
  <c r="AA77" i="6"/>
  <c r="Z77" i="6"/>
  <c r="Y77" i="6"/>
  <c r="X77" i="6"/>
  <c r="W77" i="6"/>
  <c r="V77" i="6"/>
  <c r="U77" i="6"/>
  <c r="T77" i="6"/>
  <c r="S77" i="6"/>
  <c r="R77" i="6"/>
  <c r="Q77" i="6"/>
  <c r="P77" i="6"/>
  <c r="O77" i="6"/>
  <c r="N77" i="6"/>
  <c r="L77" i="6"/>
  <c r="K77" i="6"/>
  <c r="J77" i="6"/>
  <c r="I77" i="6"/>
  <c r="H77" i="6"/>
  <c r="G77" i="6"/>
  <c r="F77" i="6"/>
  <c r="E77" i="6"/>
  <c r="D77" i="6"/>
  <c r="C77" i="6"/>
  <c r="AQ24" i="5"/>
  <c r="AP24" i="5"/>
  <c r="AO24" i="5"/>
  <c r="AN24" i="5"/>
  <c r="AM24" i="5"/>
  <c r="AK24" i="5"/>
  <c r="AJ24" i="5"/>
  <c r="AH24" i="5"/>
  <c r="AG24" i="5"/>
  <c r="AF24" i="5"/>
  <c r="AE24" i="5"/>
  <c r="AD24" i="5"/>
  <c r="AC24" i="5"/>
  <c r="AB24" i="5"/>
  <c r="AA24" i="5"/>
  <c r="Y24" i="5"/>
  <c r="X24" i="5"/>
  <c r="W24" i="5"/>
  <c r="V24" i="5"/>
  <c r="U24" i="5"/>
  <c r="S24" i="5"/>
  <c r="R24" i="5"/>
  <c r="Q24" i="5"/>
  <c r="P24" i="5"/>
  <c r="O24" i="5"/>
  <c r="N24" i="5"/>
  <c r="M24" i="5"/>
  <c r="L24" i="5"/>
  <c r="K24" i="5"/>
  <c r="J24" i="5"/>
  <c r="H24" i="5"/>
  <c r="G24" i="5"/>
  <c r="F24" i="5"/>
  <c r="E24" i="5"/>
  <c r="D24" i="5"/>
  <c r="C24" i="5"/>
  <c r="B24" i="5"/>
  <c r="AQ23" i="5"/>
  <c r="AP23" i="5"/>
  <c r="AO23" i="5"/>
  <c r="AN23" i="5"/>
  <c r="AM23" i="5"/>
  <c r="AK23" i="5"/>
  <c r="AJ23" i="5"/>
  <c r="AH23" i="5"/>
  <c r="AG23" i="5"/>
  <c r="AF23" i="5"/>
  <c r="AE23" i="5"/>
  <c r="AD23" i="5"/>
  <c r="AC23" i="5"/>
  <c r="AB23" i="5"/>
  <c r="AA23" i="5"/>
  <c r="Y23" i="5"/>
  <c r="X23" i="5"/>
  <c r="W23" i="5"/>
  <c r="V23" i="5"/>
  <c r="U23" i="5"/>
  <c r="S23" i="5"/>
  <c r="R23" i="5"/>
  <c r="Q23" i="5"/>
  <c r="P23" i="5"/>
  <c r="O23" i="5"/>
  <c r="N23" i="5"/>
  <c r="M23" i="5"/>
  <c r="L23" i="5"/>
  <c r="K23" i="5"/>
  <c r="J23" i="5"/>
  <c r="H23" i="5"/>
  <c r="G23" i="5"/>
  <c r="F23" i="5"/>
  <c r="E23" i="5"/>
  <c r="D23" i="5"/>
  <c r="C23" i="5"/>
  <c r="B23" i="5"/>
  <c r="AQ22" i="5"/>
  <c r="AP22" i="5"/>
  <c r="AO22" i="5"/>
  <c r="AN22" i="5"/>
  <c r="AM22" i="5"/>
  <c r="AK22" i="5"/>
  <c r="AJ22" i="5"/>
  <c r="AH22" i="5"/>
  <c r="AG22" i="5"/>
  <c r="AF22" i="5"/>
  <c r="AE22" i="5"/>
  <c r="AD22" i="5"/>
  <c r="AC22" i="5"/>
  <c r="AB22" i="5"/>
  <c r="AA22" i="5"/>
  <c r="Y22" i="5"/>
  <c r="X22" i="5"/>
  <c r="W22" i="5"/>
  <c r="V22" i="5"/>
  <c r="U22" i="5"/>
  <c r="S22" i="5"/>
  <c r="R22" i="5"/>
  <c r="Q22" i="5"/>
  <c r="P22" i="5"/>
  <c r="O22" i="5"/>
  <c r="N22" i="5"/>
  <c r="M22" i="5"/>
  <c r="L22" i="5"/>
  <c r="K22" i="5"/>
  <c r="J22" i="5"/>
  <c r="H22" i="5"/>
  <c r="G22" i="5"/>
  <c r="F22" i="5"/>
  <c r="E22" i="5"/>
  <c r="D22" i="5"/>
  <c r="C22" i="5"/>
  <c r="B22" i="5"/>
  <c r="AQ21" i="5"/>
  <c r="AP21" i="5"/>
  <c r="AO21" i="5"/>
  <c r="AN21" i="5"/>
  <c r="AM21" i="5"/>
  <c r="AK21" i="5"/>
  <c r="AJ21" i="5"/>
  <c r="AH21" i="5"/>
  <c r="AG21" i="5"/>
  <c r="AF21" i="5"/>
  <c r="AE21" i="5"/>
  <c r="AD21" i="5"/>
  <c r="AC21" i="5"/>
  <c r="AB21" i="5"/>
  <c r="AA21" i="5"/>
  <c r="Y21" i="5"/>
  <c r="X21" i="5"/>
  <c r="W21" i="5"/>
  <c r="V21" i="5"/>
  <c r="U21" i="5"/>
  <c r="S21" i="5"/>
  <c r="R21" i="5"/>
  <c r="Q21" i="5"/>
  <c r="P21" i="5"/>
  <c r="O21" i="5"/>
  <c r="N21" i="5"/>
  <c r="M21" i="5"/>
  <c r="L21" i="5"/>
  <c r="K21" i="5"/>
  <c r="J21" i="5"/>
  <c r="H21" i="5"/>
  <c r="G21" i="5"/>
  <c r="F21" i="5"/>
  <c r="E21" i="5"/>
  <c r="D21" i="5"/>
  <c r="C21" i="5"/>
  <c r="B21" i="5"/>
  <c r="AQ20" i="5"/>
  <c r="AP20" i="5"/>
  <c r="AO20" i="5"/>
  <c r="AN20" i="5"/>
  <c r="AM20" i="5"/>
  <c r="AK20" i="5"/>
  <c r="AJ20" i="5"/>
  <c r="AH20" i="5"/>
  <c r="AG20" i="5"/>
  <c r="AF20" i="5"/>
  <c r="AE20" i="5"/>
  <c r="AD20" i="5"/>
  <c r="AC20" i="5"/>
  <c r="AB20" i="5"/>
  <c r="AA20" i="5"/>
  <c r="Y20" i="5"/>
  <c r="X20" i="5"/>
  <c r="W20" i="5"/>
  <c r="V20" i="5"/>
  <c r="U20" i="5"/>
  <c r="S20" i="5"/>
  <c r="R20" i="5"/>
  <c r="Q20" i="5"/>
  <c r="P20" i="5"/>
  <c r="O20" i="5"/>
  <c r="N20" i="5"/>
  <c r="M20" i="5"/>
  <c r="L20" i="5"/>
  <c r="K20" i="5"/>
  <c r="J20" i="5"/>
  <c r="H20" i="5"/>
  <c r="G20" i="5"/>
  <c r="F20" i="5"/>
  <c r="E20" i="5"/>
  <c r="D20" i="5"/>
  <c r="C20" i="5"/>
  <c r="B20" i="5"/>
  <c r="AQ19" i="5"/>
  <c r="AP19" i="5"/>
  <c r="AO19" i="5"/>
  <c r="AN19" i="5"/>
  <c r="AM19" i="5"/>
  <c r="AK19" i="5"/>
  <c r="AJ19" i="5"/>
  <c r="AH19" i="5"/>
  <c r="AG19" i="5"/>
  <c r="AF19" i="5"/>
  <c r="AE19" i="5"/>
  <c r="AD19" i="5"/>
  <c r="AC19" i="5"/>
  <c r="AB19" i="5"/>
  <c r="AA19" i="5"/>
  <c r="Y19" i="5"/>
  <c r="X19" i="5"/>
  <c r="W19" i="5"/>
  <c r="V19" i="5"/>
  <c r="U19" i="5"/>
  <c r="S19" i="5"/>
  <c r="R19" i="5"/>
  <c r="Q19" i="5"/>
  <c r="P19" i="5"/>
  <c r="O19" i="5"/>
  <c r="N19" i="5"/>
  <c r="M19" i="5"/>
  <c r="L19" i="5"/>
  <c r="K19" i="5"/>
  <c r="J19" i="5"/>
  <c r="H19" i="5"/>
  <c r="G19" i="5"/>
  <c r="F19" i="5"/>
  <c r="E19" i="5"/>
  <c r="D19" i="5"/>
  <c r="C19" i="5"/>
  <c r="B19" i="5"/>
  <c r="AR16" i="5"/>
  <c r="AL16" i="5"/>
  <c r="AI16" i="5"/>
  <c r="Z16" i="5"/>
  <c r="T16" i="5"/>
  <c r="I16" i="5"/>
  <c r="AR15" i="5"/>
  <c r="AL15" i="5"/>
  <c r="AI15" i="5"/>
  <c r="Z15" i="5"/>
  <c r="T15" i="5"/>
  <c r="I15" i="5"/>
  <c r="AR14" i="5"/>
  <c r="AL14" i="5"/>
  <c r="AI14" i="5"/>
  <c r="Z14" i="5"/>
  <c r="T14" i="5"/>
  <c r="I14" i="5"/>
  <c r="AR13" i="5"/>
  <c r="AL13" i="5"/>
  <c r="AI13" i="5"/>
  <c r="Z13" i="5"/>
  <c r="T13" i="5"/>
  <c r="I13" i="5"/>
  <c r="AR12" i="5"/>
  <c r="AL12" i="5"/>
  <c r="AI12" i="5"/>
  <c r="Z12" i="5"/>
  <c r="T12" i="5"/>
  <c r="I12" i="5"/>
  <c r="AR11" i="5"/>
  <c r="AL11" i="5"/>
  <c r="AI11" i="5"/>
  <c r="Z11" i="5"/>
  <c r="T11" i="5"/>
  <c r="I11" i="5"/>
  <c r="AR10" i="5"/>
  <c r="AL10" i="5"/>
  <c r="AI10" i="5"/>
  <c r="Z10" i="5"/>
  <c r="T10" i="5"/>
  <c r="I10" i="5"/>
  <c r="AR9" i="5"/>
  <c r="AL9" i="5"/>
  <c r="AI9" i="5"/>
  <c r="Z9" i="5"/>
  <c r="T9" i="5"/>
  <c r="I9" i="5"/>
  <c r="AR8" i="5"/>
  <c r="AL8" i="5"/>
  <c r="AI8" i="5"/>
  <c r="Z8" i="5"/>
  <c r="T8" i="5"/>
  <c r="I8" i="5"/>
  <c r="AR7" i="5"/>
  <c r="AL7" i="5"/>
  <c r="AI7" i="5"/>
  <c r="Z7" i="5"/>
  <c r="T7" i="5"/>
  <c r="I7" i="5"/>
  <c r="AR6" i="5"/>
  <c r="AL6" i="5"/>
  <c r="AI6" i="5"/>
  <c r="Z6" i="5"/>
  <c r="T6" i="5"/>
  <c r="I6" i="5"/>
  <c r="AR5" i="5"/>
  <c r="AL5" i="5"/>
  <c r="AI5" i="5"/>
  <c r="Z5" i="5"/>
  <c r="T5" i="5"/>
  <c r="I5" i="5"/>
  <c r="AR4" i="5"/>
  <c r="AL4" i="5"/>
  <c r="AI4" i="5"/>
  <c r="Z4" i="5"/>
  <c r="T4" i="5"/>
  <c r="I4" i="5"/>
  <c r="AR3" i="5"/>
  <c r="AL3" i="5"/>
  <c r="AI3" i="5"/>
  <c r="Z3" i="5"/>
  <c r="T3" i="5"/>
  <c r="I3" i="5"/>
  <c r="AR2" i="5"/>
  <c r="AL2" i="5"/>
  <c r="AI2" i="5"/>
  <c r="Z2" i="5"/>
  <c r="Z23" i="5" s="1"/>
  <c r="T2" i="5"/>
  <c r="I2" i="5"/>
  <c r="AJ17" i="4"/>
  <c r="AI17" i="4" s="1"/>
  <c r="AJ16" i="4"/>
  <c r="AI16" i="4" s="1"/>
  <c r="AJ15" i="4"/>
  <c r="AI15" i="4" s="1"/>
  <c r="AJ14" i="4"/>
  <c r="AI14" i="4" s="1"/>
  <c r="AJ13" i="4"/>
  <c r="AI13" i="4" s="1"/>
  <c r="AJ12" i="4"/>
  <c r="AI12" i="4" s="1"/>
  <c r="AJ11" i="4"/>
  <c r="AI11" i="4"/>
  <c r="AJ10" i="4"/>
  <c r="AI10" i="4" s="1"/>
  <c r="AJ9" i="4"/>
  <c r="AI9" i="4" s="1"/>
  <c r="AJ7" i="4"/>
  <c r="AI7" i="4" s="1"/>
  <c r="AJ6" i="4"/>
  <c r="AI6" i="4"/>
  <c r="AJ5" i="4"/>
  <c r="AI5" i="4" s="1"/>
  <c r="AJ4" i="4"/>
  <c r="AI4" i="4" s="1"/>
  <c r="AJ3" i="4"/>
  <c r="AI3" i="4" s="1"/>
  <c r="Z68" i="1"/>
  <c r="V68" i="1"/>
  <c r="Y67" i="1"/>
  <c r="Z67" i="1" s="1"/>
  <c r="V67" i="1"/>
  <c r="AC66" i="1"/>
  <c r="Y66" i="1"/>
  <c r="Z66" i="1" s="1"/>
  <c r="V66" i="1"/>
  <c r="S66" i="1"/>
  <c r="P66" i="1"/>
  <c r="B66" i="1"/>
  <c r="Y65" i="1"/>
  <c r="Z65" i="1" s="1"/>
  <c r="V65" i="1"/>
  <c r="S65" i="1"/>
  <c r="B65" i="1"/>
  <c r="Y64" i="1"/>
  <c r="Z64" i="1" s="1"/>
  <c r="V64" i="1"/>
  <c r="S64" i="1"/>
  <c r="B64" i="1"/>
  <c r="Y63" i="1"/>
  <c r="Z63" i="1" s="1"/>
  <c r="V63" i="1"/>
  <c r="S63" i="1"/>
  <c r="B63" i="1"/>
  <c r="AC62" i="1"/>
  <c r="Y62" i="1"/>
  <c r="Z62" i="1" s="1"/>
  <c r="V62" i="1"/>
  <c r="S62" i="1"/>
  <c r="B62" i="1"/>
  <c r="Y61" i="1"/>
  <c r="Z61" i="1" s="1"/>
  <c r="V61" i="1"/>
  <c r="S61" i="1"/>
  <c r="B61" i="1"/>
  <c r="Y60" i="1"/>
  <c r="Z60" i="1" s="1"/>
  <c r="V60" i="1"/>
  <c r="S60" i="1"/>
  <c r="B60" i="1"/>
  <c r="Y59" i="1"/>
  <c r="Z59" i="1" s="1"/>
  <c r="V59" i="1"/>
  <c r="S59" i="1"/>
  <c r="B59" i="1"/>
  <c r="Y58" i="1"/>
  <c r="Z58" i="1" s="1"/>
  <c r="V58" i="1"/>
  <c r="S58" i="1"/>
  <c r="B58" i="1"/>
  <c r="Z57" i="1"/>
  <c r="V57" i="1"/>
  <c r="S57" i="1"/>
  <c r="B57" i="1"/>
  <c r="Z56" i="1"/>
  <c r="V56" i="1"/>
  <c r="S56" i="1"/>
  <c r="P56" i="1"/>
  <c r="B56" i="1"/>
  <c r="Z55" i="1"/>
  <c r="V55" i="1"/>
  <c r="S55" i="1"/>
  <c r="B55" i="1"/>
  <c r="Y54" i="1"/>
  <c r="Z54" i="1" s="1"/>
  <c r="V54" i="1"/>
  <c r="S54" i="1"/>
  <c r="B54" i="1"/>
  <c r="Z53" i="1"/>
  <c r="V53" i="1"/>
  <c r="S53" i="1"/>
  <c r="P53" i="1"/>
  <c r="B53" i="1"/>
  <c r="Y52" i="1"/>
  <c r="Z52" i="1" s="1"/>
  <c r="V52" i="1"/>
  <c r="S52" i="1"/>
  <c r="P52" i="1"/>
  <c r="B52" i="1"/>
  <c r="Y51" i="1"/>
  <c r="Z51" i="1" s="1"/>
  <c r="V51" i="1"/>
  <c r="S51" i="1"/>
  <c r="B51" i="1"/>
  <c r="Z50" i="1"/>
  <c r="V50" i="1"/>
  <c r="S50" i="1"/>
  <c r="B50" i="1"/>
  <c r="Y49" i="1"/>
  <c r="Z49" i="1" s="1"/>
  <c r="V49" i="1"/>
  <c r="S49" i="1"/>
  <c r="B49" i="1"/>
  <c r="Z48" i="1"/>
  <c r="V48" i="1"/>
  <c r="S48" i="1"/>
  <c r="B48" i="1"/>
  <c r="Y47" i="1"/>
  <c r="Z47" i="1" s="1"/>
  <c r="V47" i="1"/>
  <c r="S47" i="1"/>
  <c r="B47" i="1"/>
  <c r="AC46" i="1"/>
  <c r="Y46" i="1"/>
  <c r="Z46" i="1" s="1"/>
  <c r="V46" i="1"/>
  <c r="S46" i="1"/>
  <c r="P46" i="1"/>
  <c r="B46" i="1"/>
  <c r="Y45" i="1"/>
  <c r="Z45" i="1" s="1"/>
  <c r="V45" i="1"/>
  <c r="S45" i="1"/>
  <c r="B45" i="1"/>
  <c r="Z44" i="1"/>
  <c r="V44" i="1"/>
  <c r="S44" i="1"/>
  <c r="B44" i="1"/>
  <c r="Y43" i="1"/>
  <c r="Z43" i="1" s="1"/>
  <c r="V43" i="1"/>
  <c r="S43" i="1"/>
  <c r="B43" i="1"/>
  <c r="Y42" i="1"/>
  <c r="Z42" i="1" s="1"/>
  <c r="V42" i="1"/>
  <c r="S42" i="1"/>
  <c r="B42" i="1"/>
  <c r="Z41" i="1"/>
  <c r="V41" i="1"/>
  <c r="S41" i="1"/>
  <c r="B41" i="1"/>
  <c r="Y40" i="1"/>
  <c r="Z40" i="1" s="1"/>
  <c r="V40" i="1"/>
  <c r="S40" i="1"/>
  <c r="B40" i="1"/>
  <c r="Y39" i="1"/>
  <c r="Z39" i="1" s="1"/>
  <c r="V39" i="1"/>
  <c r="S39" i="1"/>
  <c r="B39" i="1"/>
  <c r="Z38" i="1"/>
  <c r="V38" i="1"/>
  <c r="S38" i="1"/>
  <c r="B38" i="1"/>
  <c r="Y37" i="1"/>
  <c r="Z37" i="1" s="1"/>
  <c r="V37" i="1"/>
  <c r="S37" i="1"/>
  <c r="B37" i="1"/>
  <c r="Y36" i="1"/>
  <c r="Z36" i="1" s="1"/>
  <c r="V36" i="1"/>
  <c r="S36" i="1"/>
  <c r="B36" i="1"/>
  <c r="Y35" i="1"/>
  <c r="Z35" i="1" s="1"/>
  <c r="V35" i="1"/>
  <c r="S35" i="1"/>
  <c r="B35" i="1"/>
  <c r="Z34" i="1"/>
  <c r="V34" i="1"/>
  <c r="S34" i="1"/>
  <c r="B34" i="1"/>
  <c r="Y33" i="1"/>
  <c r="Z33" i="1" s="1"/>
  <c r="V33" i="1"/>
  <c r="S33" i="1"/>
  <c r="B33" i="1"/>
  <c r="Y32" i="1"/>
  <c r="Z32" i="1" s="1"/>
  <c r="V32" i="1"/>
  <c r="S32" i="1"/>
  <c r="B32" i="1"/>
  <c r="Y31" i="1"/>
  <c r="Z31" i="1" s="1"/>
  <c r="V31" i="1"/>
  <c r="S31" i="1"/>
  <c r="B31" i="1"/>
  <c r="Y30" i="1"/>
  <c r="Z30" i="1" s="1"/>
  <c r="V30" i="1"/>
  <c r="S30" i="1"/>
  <c r="B30" i="1"/>
  <c r="Y29" i="1"/>
  <c r="Z29" i="1" s="1"/>
  <c r="V29" i="1"/>
  <c r="S29" i="1"/>
  <c r="B29" i="1"/>
  <c r="Y28" i="1"/>
  <c r="Z28" i="1" s="1"/>
  <c r="V28" i="1"/>
  <c r="S28" i="1"/>
  <c r="B28" i="1"/>
  <c r="Z27" i="1"/>
  <c r="V27" i="1"/>
  <c r="S27" i="1"/>
  <c r="B27" i="1"/>
  <c r="Y26" i="1"/>
  <c r="Z26" i="1" s="1"/>
  <c r="V26" i="1"/>
  <c r="S26" i="1"/>
  <c r="B26" i="1"/>
  <c r="Y25" i="1"/>
  <c r="Z25" i="1" s="1"/>
  <c r="V25" i="1"/>
  <c r="B25" i="1"/>
  <c r="Y24" i="1"/>
  <c r="Z24" i="1" s="1"/>
  <c r="V24" i="1"/>
  <c r="S24" i="1"/>
  <c r="B24" i="1"/>
  <c r="Y23" i="1"/>
  <c r="Z23" i="1" s="1"/>
  <c r="V23" i="1"/>
  <c r="S23" i="1"/>
  <c r="B23" i="1"/>
  <c r="Y22" i="1"/>
  <c r="Z22" i="1" s="1"/>
  <c r="V22" i="1"/>
  <c r="S22" i="1"/>
  <c r="B22" i="1"/>
  <c r="Y21" i="1"/>
  <c r="Z21" i="1" s="1"/>
  <c r="V21" i="1"/>
  <c r="S21" i="1"/>
  <c r="B21" i="1"/>
  <c r="Y20" i="1"/>
  <c r="Z20" i="1" s="1"/>
  <c r="V20" i="1"/>
  <c r="S20" i="1"/>
  <c r="Y19" i="1"/>
  <c r="Z19" i="1" s="1"/>
  <c r="V19" i="1"/>
  <c r="S19" i="1"/>
  <c r="Y18" i="1"/>
  <c r="Z18" i="1" s="1"/>
  <c r="V18" i="1"/>
  <c r="S18" i="1"/>
  <c r="Y17" i="1"/>
  <c r="Z17" i="1" s="1"/>
  <c r="V17" i="1"/>
  <c r="S17" i="1"/>
  <c r="Y16" i="1"/>
  <c r="Z16" i="1" s="1"/>
  <c r="V16" i="1"/>
  <c r="S16" i="1"/>
  <c r="Y15" i="1"/>
  <c r="Z15" i="1" s="1"/>
  <c r="V15" i="1"/>
  <c r="S15" i="1"/>
  <c r="Y14" i="1"/>
  <c r="Z14" i="1" s="1"/>
  <c r="V14" i="1"/>
  <c r="S14" i="1"/>
  <c r="Y13" i="1"/>
  <c r="Z13" i="1" s="1"/>
  <c r="V13" i="1"/>
  <c r="S13" i="1"/>
  <c r="Y12" i="1"/>
  <c r="Z12" i="1" s="1"/>
  <c r="V12" i="1"/>
  <c r="S12" i="1"/>
  <c r="Y11" i="1"/>
  <c r="Z11" i="1" s="1"/>
  <c r="V11" i="1"/>
  <c r="S11" i="1"/>
  <c r="Y10" i="1"/>
  <c r="Z10" i="1" s="1"/>
  <c r="V10" i="1"/>
  <c r="S10" i="1"/>
  <c r="Y9" i="1"/>
  <c r="Z9" i="1" s="1"/>
  <c r="V9" i="1"/>
  <c r="S9" i="1"/>
  <c r="Y8" i="1"/>
  <c r="Z8" i="1" s="1"/>
  <c r="V8" i="1"/>
  <c r="S8" i="1"/>
  <c r="Y7" i="1"/>
  <c r="Z7" i="1" s="1"/>
  <c r="V7" i="1"/>
  <c r="S7" i="1"/>
  <c r="Y6" i="1"/>
  <c r="Z6" i="1" s="1"/>
  <c r="V6" i="1"/>
  <c r="S6" i="1"/>
  <c r="Y5" i="1"/>
  <c r="Z5" i="1" s="1"/>
  <c r="V5" i="1"/>
  <c r="S5" i="1"/>
  <c r="Z4" i="1"/>
  <c r="V4" i="1"/>
  <c r="S4" i="1"/>
  <c r="Z3" i="1"/>
  <c r="V3" i="1"/>
  <c r="S3" i="1"/>
  <c r="Z2" i="1"/>
  <c r="V2" i="1"/>
  <c r="S2" i="1"/>
  <c r="D73" i="1" l="1"/>
  <c r="AI20" i="4"/>
  <c r="I19" i="5"/>
  <c r="T22" i="5"/>
  <c r="AJ20" i="4"/>
  <c r="AI23" i="5"/>
  <c r="AL22" i="5"/>
  <c r="B73" i="1"/>
  <c r="AJ23" i="4"/>
  <c r="AR22" i="5"/>
  <c r="AI21" i="4"/>
  <c r="Z19" i="5"/>
  <c r="T23" i="5"/>
  <c r="AR23" i="5"/>
  <c r="I24" i="5"/>
  <c r="B10" i="8"/>
  <c r="AJ21" i="4"/>
  <c r="AI19" i="5"/>
  <c r="Z24" i="5"/>
  <c r="C10" i="8"/>
  <c r="AI22" i="4"/>
  <c r="T19" i="5"/>
  <c r="AR19" i="5"/>
  <c r="I20" i="5"/>
  <c r="I22" i="5"/>
  <c r="AL23" i="5"/>
  <c r="AI24" i="5"/>
  <c r="D10" i="8"/>
  <c r="AJ22" i="4"/>
  <c r="Z20" i="5"/>
  <c r="Z22" i="5"/>
  <c r="T24" i="5"/>
  <c r="AR24" i="5"/>
  <c r="E10" i="8"/>
  <c r="AI19" i="4"/>
  <c r="AI23" i="4"/>
  <c r="AL19" i="5"/>
  <c r="AI20" i="5"/>
  <c r="AI22" i="5"/>
  <c r="AJ19" i="4"/>
  <c r="T20" i="5"/>
  <c r="AR20" i="5"/>
  <c r="I23" i="5"/>
  <c r="AL24" i="5"/>
  <c r="AL2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Basilio Goncalves</author>
  </authors>
  <commentList>
    <comment ref="C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 xml:space="preserve">1 = male 
2 = female
</t>
        </r>
      </text>
    </comment>
    <comment ref="H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 xml:space="preserve">Max
</t>
        </r>
      </text>
    </comment>
    <comment ref="W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1 - Same level
2 - Higher 
3 - Lower</t>
        </r>
      </text>
    </comment>
    <comment ref="X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 xml:space="preserve">1 - Beause of hip and groin pain
2 - Different injury (what?) 
3 - NA
4 - Other
</t>
        </r>
      </text>
    </comment>
    <comment ref="AB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 xml:space="preserve">1 - Team &amp; court sports (soccer, rugby, basketball, tennis)
2 - endurance (running, cycling, swimming)
3 -  strength (climbing, resistance training, yoga...)
4 - mixed (combination of different, boxing, hiit) </t>
        </r>
      </text>
    </comment>
    <comment ref="AE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 xml:space="preserve">Elite (National, international) - A
Sub-elite (state) - B
Regional - C
Recreational (local) - D
I have never competed in sport - E
</t>
        </r>
      </text>
    </comment>
    <comment ref="AH1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 xml:space="preserve">Activity level before the onset of PAIN
</t>
        </r>
      </text>
    </comment>
    <comment ref="AI1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 xml:space="preserve">Current activity level </t>
        </r>
      </text>
    </comment>
    <comment ref="A3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 xml:space="preserve">8 runs
</t>
        </r>
      </text>
    </comment>
    <comment ref="L7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Fuad had an injury after testing</t>
        </r>
      </text>
    </comment>
    <comment ref="A8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 xml:space="preserve">5 runs only
</t>
        </r>
      </text>
    </comment>
    <comment ref="L9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 xml:space="preserve">Slightly unconfortable </t>
        </r>
      </text>
    </comment>
    <comment ref="A12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Forceplates out of sync</t>
        </r>
      </text>
    </comment>
    <comment ref="L14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1/10 slight pain</t>
        </r>
      </text>
    </comment>
    <comment ref="A15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did not finish cuz broke the shoe</t>
        </r>
      </text>
    </comment>
    <comment ref="L16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Pere already contacted</t>
        </r>
      </text>
    </comment>
    <comment ref="A22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 xml:space="preserve">did 16 trials
</t>
        </r>
      </text>
    </comment>
    <comment ref="AI36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Competes 1 per mnth</t>
        </r>
      </text>
    </comment>
    <comment ref="A46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 xml:space="preserve">only 10
</t>
        </r>
      </text>
    </comment>
    <comment ref="A49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11 runs only</t>
        </r>
      </text>
    </comment>
    <comment ref="L50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Also Positive other Leg</t>
        </r>
      </text>
    </comment>
    <comment ref="M51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Also Positive FADIR</t>
        </r>
      </text>
    </comment>
    <comment ref="L52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Negative impingement tests Contalateral</t>
        </r>
      </text>
    </comment>
    <comment ref="L55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Positive on the other leg too</t>
        </r>
      </text>
    </comment>
    <comment ref="A60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only 9 runs</t>
        </r>
      </text>
    </comment>
    <comment ref="X67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Shoulder injury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Basilio Goncalves</author>
  </authors>
  <commentList>
    <comment ref="I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 xml:space="preserve">Symptoms
</t>
        </r>
      </text>
    </comment>
    <comment ref="T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 xml:space="preserve">Pain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Basilio Goncalves</author>
  </authors>
  <commentList>
    <comment ref="A1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 xml:space="preserve">8 runs
</t>
        </r>
      </text>
    </comment>
    <comment ref="A16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 xml:space="preserve">5 runs only
</t>
        </r>
      </text>
    </comment>
    <comment ref="A20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Forceplates out of sync</t>
        </r>
      </text>
    </comment>
    <comment ref="A23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did not finish cuz broke the shoe</t>
        </r>
      </text>
    </comment>
    <comment ref="A30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 xml:space="preserve">did 16 trials
</t>
        </r>
      </text>
    </comment>
    <comment ref="A54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 xml:space="preserve">only 10
</t>
        </r>
      </text>
    </comment>
    <comment ref="A57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11 runs only</t>
        </r>
      </text>
    </comment>
    <comment ref="A68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only 9 runs</t>
        </r>
      </text>
    </comment>
    <comment ref="T73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hamstring pain = 6
right leg = 7</t>
        </r>
      </text>
    </comment>
    <comment ref="I74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 xml:space="preserve">Glutes
</t>
        </r>
      </text>
    </comment>
  </commentList>
</comments>
</file>

<file path=xl/sharedStrings.xml><?xml version="1.0" encoding="utf-8"?>
<sst xmlns="http://schemas.openxmlformats.org/spreadsheetml/2006/main" count="1444" uniqueCount="437">
  <si>
    <t>Subject</t>
  </si>
  <si>
    <t>Age</t>
  </si>
  <si>
    <t>Sex</t>
  </si>
  <si>
    <t>Measured Leg</t>
  </si>
  <si>
    <t xml:space="preserve">Dominant Leg </t>
  </si>
  <si>
    <t>StrengthData</t>
  </si>
  <si>
    <t>Alpha angle</t>
  </si>
  <si>
    <t>Centre edge angle</t>
  </si>
  <si>
    <t>Group</t>
  </si>
  <si>
    <t>Intramuscular</t>
  </si>
  <si>
    <t>FADIR</t>
  </si>
  <si>
    <t>FABER</t>
  </si>
  <si>
    <t>Pain</t>
  </si>
  <si>
    <t>Symptomatic side</t>
  </si>
  <si>
    <t>Duration of Symptoms</t>
  </si>
  <si>
    <t>Birth Date</t>
  </si>
  <si>
    <t>Date</t>
  </si>
  <si>
    <t>Date_num</t>
  </si>
  <si>
    <t>Weight</t>
  </si>
  <si>
    <t>Height</t>
  </si>
  <si>
    <t>BMI</t>
  </si>
  <si>
    <t>Current level</t>
  </si>
  <si>
    <t>If you are no longer exercising at the same level, please indicate the reasons</t>
  </si>
  <si>
    <t>Total hours exercise per week</t>
  </si>
  <si>
    <t xml:space="preserve">Total min exer per week </t>
  </si>
  <si>
    <t>Sports</t>
  </si>
  <si>
    <t>Sports Category (based on Nawabi et al. 2014)</t>
  </si>
  <si>
    <t>Total Hours Competetive sport per week</t>
  </si>
  <si>
    <t>Competetive Sport</t>
  </si>
  <si>
    <t>Highest level of competition</t>
  </si>
  <si>
    <t>Sport</t>
  </si>
  <si>
    <t>SumYears</t>
  </si>
  <si>
    <t>Modified Tagner BEFORE</t>
  </si>
  <si>
    <t>Modified Tagner CURRENT</t>
  </si>
  <si>
    <t>001 pilot</t>
  </si>
  <si>
    <t>R</t>
  </si>
  <si>
    <t>No</t>
  </si>
  <si>
    <t>??</t>
  </si>
  <si>
    <t>YES</t>
  </si>
  <si>
    <t>none</t>
  </si>
  <si>
    <t>002</t>
  </si>
  <si>
    <t>L</t>
  </si>
  <si>
    <t>CON</t>
  </si>
  <si>
    <t>Neg</t>
  </si>
  <si>
    <t>NO</t>
  </si>
  <si>
    <t>Rugby</t>
  </si>
  <si>
    <t>C</t>
  </si>
  <si>
    <t>003</t>
  </si>
  <si>
    <t>D</t>
  </si>
  <si>
    <t>004</t>
  </si>
  <si>
    <t>NA</t>
  </si>
  <si>
    <t>005</t>
  </si>
  <si>
    <t>FAIM</t>
  </si>
  <si>
    <t>006</t>
  </si>
  <si>
    <t>B</t>
  </si>
  <si>
    <t>007</t>
  </si>
  <si>
    <t>Yes</t>
  </si>
  <si>
    <t>Resistance training</t>
  </si>
  <si>
    <t>008</t>
  </si>
  <si>
    <t>009</t>
  </si>
  <si>
    <t>Resistance training
running
cycling</t>
  </si>
  <si>
    <t>A</t>
  </si>
  <si>
    <t>010</t>
  </si>
  <si>
    <t xml:space="preserve">Swimming
Running
Resistance training </t>
  </si>
  <si>
    <t>011</t>
  </si>
  <si>
    <t>012</t>
  </si>
  <si>
    <t>Resistance training
running</t>
  </si>
  <si>
    <t>013</t>
  </si>
  <si>
    <t>swimming
running
Resistance training</t>
  </si>
  <si>
    <t>015</t>
  </si>
  <si>
    <t>E</t>
  </si>
  <si>
    <t>016</t>
  </si>
  <si>
    <t>cycling 
resistance training</t>
  </si>
  <si>
    <t>017</t>
  </si>
  <si>
    <t>resistance training</t>
  </si>
  <si>
    <t>018</t>
  </si>
  <si>
    <t>22/09/1993</t>
  </si>
  <si>
    <t>Resistance training
running 
HIIT</t>
  </si>
  <si>
    <t>019</t>
  </si>
  <si>
    <t>Resistance training
Basketball</t>
  </si>
  <si>
    <t>Baketball</t>
  </si>
  <si>
    <t>020</t>
  </si>
  <si>
    <t>23/7/1994</t>
  </si>
  <si>
    <t>Resistance training 
Running</t>
  </si>
  <si>
    <t>Pelota Basca</t>
  </si>
  <si>
    <t>021</t>
  </si>
  <si>
    <t>Resistance training
Cycling</t>
  </si>
  <si>
    <t>022</t>
  </si>
  <si>
    <t>26/6/1999</t>
  </si>
  <si>
    <t>023</t>
  </si>
  <si>
    <t>Martial Arts
Rugby
Walking and running</t>
  </si>
  <si>
    <t>024</t>
  </si>
  <si>
    <t>Resistance training
Surfing</t>
  </si>
  <si>
    <t>Handball</t>
  </si>
  <si>
    <t>025</t>
  </si>
  <si>
    <t>Rugby 
Basketball</t>
  </si>
  <si>
    <t>026</t>
  </si>
  <si>
    <t>Running 
Resistance training</t>
  </si>
  <si>
    <t>027</t>
  </si>
  <si>
    <t>Pilates
Resistance Training
Running</t>
  </si>
  <si>
    <t>028</t>
  </si>
  <si>
    <t>Soccer</t>
  </si>
  <si>
    <t>029</t>
  </si>
  <si>
    <t>Hiit</t>
  </si>
  <si>
    <t>030</t>
  </si>
  <si>
    <t>Swimming
Cycling
Resistance training</t>
  </si>
  <si>
    <t>soccer</t>
  </si>
  <si>
    <t>031</t>
  </si>
  <si>
    <t>basketball</t>
  </si>
  <si>
    <t>032</t>
  </si>
  <si>
    <t>Resistance training
cardio
Atheletics</t>
  </si>
  <si>
    <t>Athletics</t>
  </si>
  <si>
    <t>033</t>
  </si>
  <si>
    <t>Resistance training
running
AFL</t>
  </si>
  <si>
    <t>AFL</t>
  </si>
  <si>
    <t>Netball</t>
  </si>
  <si>
    <t>034</t>
  </si>
  <si>
    <t>cycling
swimming
soccer</t>
  </si>
  <si>
    <t>swimming
basketball</t>
  </si>
  <si>
    <t>035</t>
  </si>
  <si>
    <t>PAIN</t>
  </si>
  <si>
    <t>Pos</t>
  </si>
  <si>
    <t>036</t>
  </si>
  <si>
    <t>Weightlifting
Running</t>
  </si>
  <si>
    <t>cheerleading</t>
  </si>
  <si>
    <t>037</t>
  </si>
  <si>
    <t>Gymnastics</t>
  </si>
  <si>
    <t>038</t>
  </si>
  <si>
    <t>Beachlifesaving
AFL</t>
  </si>
  <si>
    <t>039</t>
  </si>
  <si>
    <t>Running
cycling
resistance training</t>
  </si>
  <si>
    <t>040</t>
  </si>
  <si>
    <t>Boxing
Running
AFL</t>
  </si>
  <si>
    <t>Basketball
Soccer
Volleyball</t>
  </si>
  <si>
    <t>041</t>
  </si>
  <si>
    <t>Resistance trainning 
Running</t>
  </si>
  <si>
    <t>042</t>
  </si>
  <si>
    <t>043</t>
  </si>
  <si>
    <t>Resistance trainning
Climbing</t>
  </si>
  <si>
    <t>Karate 
Cricket
Weightlifting</t>
  </si>
  <si>
    <t>044</t>
  </si>
  <si>
    <t>Running
Swimming</t>
  </si>
  <si>
    <t>Soccer
MD running</t>
  </si>
  <si>
    <t>045</t>
  </si>
  <si>
    <t>Soccer
x-country</t>
  </si>
  <si>
    <t>046</t>
  </si>
  <si>
    <t>xx</t>
  </si>
  <si>
    <t>047</t>
  </si>
  <si>
    <t>Resistance training
Hiking
Running</t>
  </si>
  <si>
    <t>Rugby
Soccer
Acrobatics</t>
  </si>
  <si>
    <t>048</t>
  </si>
  <si>
    <t>Resistance training
Hiit</t>
  </si>
  <si>
    <t>049</t>
  </si>
  <si>
    <t>050</t>
  </si>
  <si>
    <t>Cycling
Climbing
Running</t>
  </si>
  <si>
    <t>Tennis</t>
  </si>
  <si>
    <t>052</t>
  </si>
  <si>
    <t>FAIS</t>
  </si>
  <si>
    <t>Basketball, Soccer, Jujitsu</t>
  </si>
  <si>
    <t>053</t>
  </si>
  <si>
    <t>054</t>
  </si>
  <si>
    <t>Soccer
Rugby
Cricket
Weightlifting
Tennis</t>
  </si>
  <si>
    <t>055</t>
  </si>
  <si>
    <t>Resistance training
Baseball</t>
  </si>
  <si>
    <t>Baseball</t>
  </si>
  <si>
    <t>056</t>
  </si>
  <si>
    <t>Cycling
Athletics (Track)
Resistance training
Athletics(Field)</t>
  </si>
  <si>
    <t>Track &amp; Field</t>
  </si>
  <si>
    <t>057</t>
  </si>
  <si>
    <t>058</t>
  </si>
  <si>
    <t>bodybalance
Cycling
Pilates</t>
  </si>
  <si>
    <t>Taekwondo, Soccer</t>
  </si>
  <si>
    <t>059</t>
  </si>
  <si>
    <t>Both</t>
  </si>
  <si>
    <t>060</t>
  </si>
  <si>
    <t>Swimming
Restistance training
Running</t>
  </si>
  <si>
    <t>Rowing, Rugby and Soccer</t>
  </si>
  <si>
    <t>061</t>
  </si>
  <si>
    <t>Resistance training
Running</t>
  </si>
  <si>
    <t>tennis</t>
  </si>
  <si>
    <t>063</t>
  </si>
  <si>
    <t>064</t>
  </si>
  <si>
    <t>Muai thai
walking</t>
  </si>
  <si>
    <t>Muay Thai</t>
  </si>
  <si>
    <t>065</t>
  </si>
  <si>
    <t>067</t>
  </si>
  <si>
    <t>068</t>
  </si>
  <si>
    <t>070</t>
  </si>
  <si>
    <t>Volleyball
Surfing
Yoga
Stretching</t>
  </si>
  <si>
    <t>Skiing</t>
  </si>
  <si>
    <t>071</t>
  </si>
  <si>
    <t>COVID</t>
  </si>
  <si>
    <t>Crossfit
PoleDancing</t>
  </si>
  <si>
    <t xml:space="preserve">2, 4 and 6 </t>
  </si>
  <si>
    <t>072</t>
  </si>
  <si>
    <t>Boxing
Resistance training</t>
  </si>
  <si>
    <t>Taekwondo</t>
  </si>
  <si>
    <t>073</t>
  </si>
  <si>
    <t>Yoga
Walking
Resistance training</t>
  </si>
  <si>
    <t>Cricket</t>
  </si>
  <si>
    <t>074</t>
  </si>
  <si>
    <t>Resistance Training
Walking
HIIT</t>
  </si>
  <si>
    <t>Basketball</t>
  </si>
  <si>
    <t xml:space="preserve">Basketball </t>
  </si>
  <si>
    <t>075</t>
  </si>
  <si>
    <t>Swimming
Running
Cycling</t>
  </si>
  <si>
    <t>076</t>
  </si>
  <si>
    <t>Kung-fu
Rock climbing
Calestenincs</t>
  </si>
  <si>
    <t>Rock Clibimg</t>
  </si>
  <si>
    <t>077</t>
  </si>
  <si>
    <t>Resistance training
Yoga
Walking</t>
  </si>
  <si>
    <t>Ice Hockey</t>
  </si>
  <si>
    <t>078</t>
  </si>
  <si>
    <t>AFL
Resistance training
Social Sports (games)</t>
  </si>
  <si>
    <t>Gymnastics
AFL
Cricket</t>
  </si>
  <si>
    <t>079</t>
  </si>
  <si>
    <t>1,2</t>
  </si>
  <si>
    <t>Resistance training, Running, Swimming, Pilates</t>
  </si>
  <si>
    <t>2,3</t>
  </si>
  <si>
    <t>Swimming, Basketball</t>
  </si>
  <si>
    <t>HE</t>
  </si>
  <si>
    <t>Joint mobilisation/manipulation</t>
  </si>
  <si>
    <t>Stretching</t>
  </si>
  <si>
    <t>Strengtheneing</t>
  </si>
  <si>
    <t>Yoga</t>
  </si>
  <si>
    <t>Pilates</t>
  </si>
  <si>
    <t xml:space="preserve">Massage </t>
  </si>
  <si>
    <t>Acupuncture/dry needling</t>
  </si>
  <si>
    <t>Heat/cold treatment</t>
  </si>
  <si>
    <t>Electrotherapy (eg. Ultrasound)</t>
  </si>
  <si>
    <t>Oral Anti-inflammatory medication (eg. voltaren)</t>
  </si>
  <si>
    <t xml:space="preserve">Gel anti-inflammatory medication </t>
  </si>
  <si>
    <t>Injection</t>
  </si>
  <si>
    <t>Any herbal therapies or supplements</t>
  </si>
  <si>
    <t>Surgery</t>
  </si>
  <si>
    <t>Section 1: Symptoms and Functional Limitations</t>
  </si>
  <si>
    <t>Section 2: Sports and Recreational Activities</t>
  </si>
  <si>
    <t>Section 3: Job Related Concerns</t>
  </si>
  <si>
    <t>Section 4: Social, Emotional and Lifestyle Concerns</t>
  </si>
  <si>
    <t>Q01 How often does your hip/groin ache?</t>
  </si>
  <si>
    <t>Q02 How stiff is your hip as a result of sitting/resting during the day?</t>
  </si>
  <si>
    <t>Q03 How difficult is it for you to walk long distances?</t>
  </si>
  <si>
    <t>Q04 How much pain do you have in your hip while sitting?</t>
  </si>
  <si>
    <t>Q05 How much trouble do you have standing on your feet for long periods of time?</t>
  </si>
  <si>
    <t>Q06 How difficult is it for you to get up and down off the floor/ground?</t>
  </si>
  <si>
    <t>Q07 How difficult is it for you to walk on uneven surfaces?</t>
  </si>
  <si>
    <t>Q08 How difficult is it for you to lie on your affected hip side?</t>
  </si>
  <si>
    <t>Q09 How much trouble do you have with stepping over obstacles?</t>
  </si>
  <si>
    <t>Q10 How much trouble do you have with climbing up/down stairs?</t>
  </si>
  <si>
    <t>Q11 How much trouble do you have with rising from a sitting position?</t>
  </si>
  <si>
    <t>Q12 How much discomfort do you have with taking long strides?</t>
  </si>
  <si>
    <t xml:space="preserve">Q13 How much difficulty do you have with getting into and/or out of a car?
</t>
  </si>
  <si>
    <t>Q14 How much trouble do you have with grinding, catching or clicking in your hip?</t>
  </si>
  <si>
    <t>Q15 How much difficulty do you have with putting on/taking off socks, stockings or shoes?</t>
  </si>
  <si>
    <t>Q16 Overall, how much pain do you have in your hip/groin?</t>
  </si>
  <si>
    <t>Q17 How concerned are you about your ability to maintain your desired fitness level?</t>
  </si>
  <si>
    <t>Q18 How much pain do you experience in your hip after activity?</t>
  </si>
  <si>
    <t xml:space="preserve">Q19 How concerned are you that the pain in your hip will increase if you participate in sports or recreational activities?
</t>
  </si>
  <si>
    <t>Q20 How much has your quality of life deteriorated because you cannot participate in sport/recreational activities?</t>
  </si>
  <si>
    <t>Q21 How concerned are you about cutting/changing direction during your sport or recreational activities?</t>
  </si>
  <si>
    <t>Q22 How much has your performance level decreased in your sport or recreational activities?</t>
  </si>
  <si>
    <t>Q23 How much trouble do you have pushing, pulling, lifting or carrying heavy objects at work?</t>
  </si>
  <si>
    <t xml:space="preserve">Q24 How much trouble do you have with crouching/squatting?
</t>
  </si>
  <si>
    <t xml:space="preserve">Q25 How concerned are you that your job will make your hip worse?
</t>
  </si>
  <si>
    <t>Q26 How much difficulty do you have at work because of reduced hip mobility?</t>
  </si>
  <si>
    <t>Q27 How frustrated are you because of your hip problem?</t>
  </si>
  <si>
    <t>Q28 How much trouble do you have with sexual activity because of your hip?</t>
  </si>
  <si>
    <t>Q29 How much of a distraction is your hip problem?</t>
  </si>
  <si>
    <t>Q30 How difficult is it for you to release tension and stress because of your hip problem?</t>
  </si>
  <si>
    <t>Q31 How discouraged are you because of your hip problem?</t>
  </si>
  <si>
    <t>Q32 How concerned are you about picking up or carrying children because of your hip?</t>
  </si>
  <si>
    <t>Q33 How much of the time are you aware of the disability in your hip?</t>
  </si>
  <si>
    <t>Sum</t>
  </si>
  <si>
    <t>Column1</t>
  </si>
  <si>
    <t>mean</t>
  </si>
  <si>
    <t>SD</t>
  </si>
  <si>
    <t xml:space="preserve">median </t>
  </si>
  <si>
    <t xml:space="preserve">min </t>
  </si>
  <si>
    <t>max</t>
  </si>
  <si>
    <t>Scoringleft to right (0-4)</t>
  </si>
  <si>
    <t>S1. Do you feel discomfort in your hip and/or groin?</t>
  </si>
  <si>
    <t>S2. Do you hear clicking or any other type of noise from your hip and/or groin?</t>
  </si>
  <si>
    <t>S3. Do you have any difficulties stretching your legs far out to the side?</t>
  </si>
  <si>
    <t>S4. Do you have any difficulties taking full strides when you walk?</t>
  </si>
  <si>
    <t>S5. Do you experience sudden twinging/ stabbing sensations in your hip and/or groin?</t>
  </si>
  <si>
    <t>S6. How severe is your hip and/or groin after first awakening in the morning?</t>
  </si>
  <si>
    <t>S7. How severe is your hip and/or groin stiffness after sitting, lying or resting later in the day?</t>
  </si>
  <si>
    <t>Sum_S</t>
  </si>
  <si>
    <t>P1. How often is your hip and/or groin painful?</t>
  </si>
  <si>
    <t>P2. How often do you have pain in areas other than your hip and/or groin that you think may be related to your hip and/or groin problem?</t>
  </si>
  <si>
    <t>P3. Straightening your hip fully</t>
  </si>
  <si>
    <t>P4. Bending your hip fully</t>
  </si>
  <si>
    <t>P5. Walking up or down stairs</t>
  </si>
  <si>
    <t>P6. At night while in bed (pain that disturbs your sleep)</t>
  </si>
  <si>
    <t>P7. Sitting or lying</t>
  </si>
  <si>
    <t>P8. Standing upright</t>
  </si>
  <si>
    <t>P9. Walking on a hard surface (asphalt, concrete, etc.)</t>
  </si>
  <si>
    <t>P10. Walking on an uneven surface</t>
  </si>
  <si>
    <t>Sum_P</t>
  </si>
  <si>
    <t>A1. Walking up stairs</t>
  </si>
  <si>
    <t>A2. Bending down, e.g. to pick something up from the floor</t>
  </si>
  <si>
    <t>A3. Getting in/out of car</t>
  </si>
  <si>
    <t>A4. Lying in bed (turning over or maintaining the same hip position for a long time)</t>
  </si>
  <si>
    <t>A5. Heavy domestic duties (scrubbing floors, vacuuming, moving heavy boxes etc.)</t>
  </si>
  <si>
    <t>Sum_A</t>
  </si>
  <si>
    <t>SP1. Squatting</t>
  </si>
  <si>
    <t>SP2. Running</t>
  </si>
  <si>
    <t>SP3. Twisting/pivoting on a weight bearing leg</t>
  </si>
  <si>
    <t>SP4. Walking on an uneven surface</t>
  </si>
  <si>
    <t>SP5. Running as fast as you can</t>
  </si>
  <si>
    <t>SP6. Bringing the leg forcefully forward and/or out to the side, such as in kicking, skating etc.</t>
  </si>
  <si>
    <t>SP7. Sudden explosive movements that involve quick footwork, such as accelerations, decelerations, change of direction etc.</t>
  </si>
  <si>
    <t>SP8. Situations where the leg is stretched into an outer position (such as when the leg is placed as far away from the body as possible)</t>
  </si>
  <si>
    <t>Sum_SP</t>
  </si>
  <si>
    <t>PA1. Are you able to participate in your preferred physical activities for as long as you would like?</t>
  </si>
  <si>
    <t>PA2. Are you able to participate in your preferred physical activities at your normal performance level?</t>
  </si>
  <si>
    <t>Sum_PA</t>
  </si>
  <si>
    <t>Q1. How often are you aware of your hip and/or groin problem?</t>
  </si>
  <si>
    <t>Q2. Have you modified your life style to avoid activities potentially damaging to your hip and/or groin?</t>
  </si>
  <si>
    <t>Q3. In general, how much difficulty do you have with your hip and/or groin?</t>
  </si>
  <si>
    <t>Q4. Does your hip and/or groin problem affect your mood in a negative way?</t>
  </si>
  <si>
    <t>Q5. Do you feel restricted due to your hip and/or groin problem?</t>
  </si>
  <si>
    <t>Sum_Q</t>
  </si>
  <si>
    <t>'052'</t>
  </si>
  <si>
    <t>'055'</t>
  </si>
  <si>
    <t>'058'</t>
  </si>
  <si>
    <t>'060'</t>
  </si>
  <si>
    <t>'061'</t>
  </si>
  <si>
    <t>'064'</t>
  </si>
  <si>
    <t>'070'</t>
  </si>
  <si>
    <t>'072'</t>
  </si>
  <si>
    <t>'073'</t>
  </si>
  <si>
    <t>'074'</t>
  </si>
  <si>
    <t>'075'</t>
  </si>
  <si>
    <t>'076'</t>
  </si>
  <si>
    <t>'077'</t>
  </si>
  <si>
    <t>'078'</t>
  </si>
  <si>
    <t>079'</t>
  </si>
  <si>
    <t>Mean</t>
  </si>
  <si>
    <t>Meadian</t>
  </si>
  <si>
    <t>Percentage above 0</t>
  </si>
  <si>
    <t>min</t>
  </si>
  <si>
    <t xml:space="preserve">Group </t>
  </si>
  <si>
    <t>HEAB</t>
  </si>
  <si>
    <t>HEER</t>
  </si>
  <si>
    <t>HEABER</t>
  </si>
  <si>
    <t>HF</t>
  </si>
  <si>
    <t>HADD</t>
  </si>
  <si>
    <t>HABD</t>
  </si>
  <si>
    <t>HER</t>
  </si>
  <si>
    <t>HIR</t>
  </si>
  <si>
    <t>Walk</t>
  </si>
  <si>
    <t>SquatJump</t>
  </si>
  <si>
    <t>SquatNorm</t>
  </si>
  <si>
    <t>RestrictSquat</t>
  </si>
  <si>
    <t>SLS_front</t>
  </si>
  <si>
    <t>SLS_back</t>
  </si>
  <si>
    <t>Run_pre</t>
  </si>
  <si>
    <t>Cut_pre</t>
  </si>
  <si>
    <t>Run_post</t>
  </si>
  <si>
    <t>Cut_pre2</t>
  </si>
  <si>
    <t>SquatNorm_post</t>
  </si>
  <si>
    <t>SLS_front_post</t>
  </si>
  <si>
    <t>SLS_back_post</t>
  </si>
  <si>
    <t>HE_post</t>
  </si>
  <si>
    <t>HEAB_post</t>
  </si>
  <si>
    <t>HEER_post</t>
  </si>
  <si>
    <t>HEABER_post</t>
  </si>
  <si>
    <t>HF_post</t>
  </si>
  <si>
    <t>HADD_post</t>
  </si>
  <si>
    <t>HABD_post</t>
  </si>
  <si>
    <t>HER_post</t>
  </si>
  <si>
    <t>HIR_post</t>
  </si>
  <si>
    <t>median</t>
  </si>
  <si>
    <t xml:space="preserve">SD </t>
  </si>
  <si>
    <t>Labels meanning</t>
  </si>
  <si>
    <t>s019</t>
  </si>
  <si>
    <t>s038</t>
  </si>
  <si>
    <t>s039</t>
  </si>
  <si>
    <t>s040</t>
  </si>
  <si>
    <t>s041</t>
  </si>
  <si>
    <t>s044</t>
  </si>
  <si>
    <t>s047</t>
  </si>
  <si>
    <t>s054</t>
  </si>
  <si>
    <t>s064</t>
  </si>
  <si>
    <t>s073</t>
  </si>
  <si>
    <t>s075</t>
  </si>
  <si>
    <t>s076</t>
  </si>
  <si>
    <t>s077</t>
  </si>
  <si>
    <t>TestedLeg</t>
  </si>
  <si>
    <t>SLSfront1</t>
  </si>
  <si>
    <t>SLSfront2</t>
  </si>
  <si>
    <t>SLSfront3</t>
  </si>
  <si>
    <t>SLSfront4</t>
  </si>
  <si>
    <t>SLSfront5</t>
  </si>
  <si>
    <t>SJ1</t>
  </si>
  <si>
    <t>SJ2</t>
  </si>
  <si>
    <t>SJ3</t>
  </si>
  <si>
    <t>SJ4</t>
  </si>
  <si>
    <t>SJ5</t>
  </si>
  <si>
    <t>did not finish</t>
  </si>
  <si>
    <t>Does not belong to any of the three groups</t>
  </si>
  <si>
    <t>Relabeling</t>
  </si>
  <si>
    <t>Gra</t>
  </si>
  <si>
    <t>AL</t>
  </si>
  <si>
    <t>ST</t>
  </si>
  <si>
    <t>BF</t>
  </si>
  <si>
    <t>std</t>
  </si>
  <si>
    <t>Squat_used</t>
  </si>
  <si>
    <t>Run Inverse kinematics from GUI for one single participant (all trials)</t>
  </si>
  <si>
    <t>SLSback1</t>
  </si>
  <si>
    <t>SLSback2</t>
  </si>
  <si>
    <t>SLSback3</t>
  </si>
  <si>
    <t>SLSback4</t>
  </si>
  <si>
    <t>SLSback5</t>
  </si>
  <si>
    <t xml:space="preserve">C3D exported </t>
  </si>
  <si>
    <t>#pre exhaustion</t>
  </si>
  <si>
    <t xml:space="preserve">Pelvis </t>
  </si>
  <si>
    <t xml:space="preserve">Knee </t>
  </si>
  <si>
    <t xml:space="preserve">thigh </t>
  </si>
  <si>
    <t xml:space="preserve">shank </t>
  </si>
  <si>
    <t xml:space="preserve">FHD </t>
  </si>
  <si>
    <t xml:space="preserve">disabled </t>
  </si>
  <si>
    <t xml:space="preserve">others </t>
  </si>
  <si>
    <t xml:space="preserve">RASI </t>
  </si>
  <si>
    <t xml:space="preserve">Output errors </t>
  </si>
  <si>
    <t>CLAV</t>
  </si>
  <si>
    <t xml:space="preserve">RASI marker weight 0.01 compared to other pelvis Markers 100 --&gt; still high error 0.16 / with disabled RasI  Marke errors highest are LBHD CLAV, RBHD, LRFIN, LUL  </t>
  </si>
  <si>
    <t xml:space="preserve">Head / Finger / upper limb markers disabled - highest errror LSHO /RSHO 0.5 </t>
  </si>
  <si>
    <t xml:space="preserve">Best IK so far </t>
  </si>
  <si>
    <t>2.75,3.4</t>
  </si>
  <si>
    <t>CAM</t>
  </si>
  <si>
    <t>Control</t>
  </si>
  <si>
    <t xml:space="preserve">export patient 064 c3d </t>
  </si>
  <si>
    <t>complete processing tab with participants group</t>
  </si>
  <si>
    <t>Run inverse dynamics from GUI</t>
  </si>
  <si>
    <t>3.355, 3.715, 4.3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</si>
</sst>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dd/mm/yyyy;@"/>
    <numFmt numFmtId="166" formatCode="yyyy\-mm\-dd\ h:mm:ss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</font>
    <font>
      <sz val="11"/>
      <color rgb="FFFFFFF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8CBA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1"/>
      </patternFill>
    </fill>
    <fill>
      <patternFill patternType="solid">
        <fgColor theme="1"/>
        <bgColor theme="1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quotePrefix="1"/>
    <xf numFmtId="0" fontId="0" fillId="2" borderId="1" xfId="0" applyFill="1" applyBorder="1"/>
    <xf numFmtId="0" fontId="1" fillId="4" borderId="0" xfId="0" applyFont="1" applyFill="1"/>
    <xf numFmtId="0" fontId="0" fillId="5" borderId="0" xfId="0" applyFill="1"/>
    <xf numFmtId="0" fontId="3" fillId="4" borderId="3" xfId="0" applyFont="1" applyFill="1" applyBorder="1"/>
    <xf numFmtId="0" fontId="0" fillId="3" borderId="4" xfId="0" applyFill="1" applyBorder="1"/>
    <xf numFmtId="0" fontId="0" fillId="0" borderId="1" xfId="0" applyBorder="1"/>
    <xf numFmtId="0" fontId="0" fillId="9" borderId="0" xfId="0" applyFill="1"/>
    <xf numFmtId="0" fontId="5" fillId="10" borderId="0" xfId="0" applyFont="1" applyFill="1"/>
    <xf numFmtId="0" fontId="7" fillId="0" borderId="0" xfId="0" applyFont="1" applyAlignment="1">
      <alignment vertical="center"/>
    </xf>
    <xf numFmtId="0" fontId="0" fillId="0" borderId="0" xfId="0" applyAlignment="1">
      <alignment vertical="top"/>
    </xf>
    <xf numFmtId="0" fontId="7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0" fillId="0" borderId="2" xfId="0" applyBorder="1" applyAlignment="1">
      <alignment vertical="top"/>
    </xf>
    <xf numFmtId="0" fontId="0" fillId="0" borderId="2" xfId="0" applyBorder="1" applyAlignment="1">
      <alignment vertical="top" wrapText="1"/>
    </xf>
    <xf numFmtId="0" fontId="7" fillId="0" borderId="2" xfId="0" applyFont="1" applyBorder="1" applyAlignment="1">
      <alignment vertical="center"/>
    </xf>
    <xf numFmtId="0" fontId="0" fillId="0" borderId="2" xfId="0" applyBorder="1"/>
    <xf numFmtId="49" fontId="0" fillId="0" borderId="0" xfId="0" applyNumberFormat="1" applyAlignment="1">
      <alignment vertical="top" wrapText="1"/>
    </xf>
    <xf numFmtId="49" fontId="0" fillId="0" borderId="0" xfId="0" applyNumberFormat="1"/>
    <xf numFmtId="0" fontId="0" fillId="12" borderId="2" xfId="0" applyFill="1" applyBorder="1"/>
    <xf numFmtId="0" fontId="9" fillId="12" borderId="2" xfId="0" applyFont="1" applyFill="1" applyBorder="1" applyAlignment="1">
      <alignment vertical="top" wrapText="1"/>
    </xf>
    <xf numFmtId="0" fontId="8" fillId="0" borderId="0" xfId="0" applyFont="1" applyAlignment="1">
      <alignment horizontal="right" vertical="center" wrapText="1"/>
    </xf>
    <xf numFmtId="0" fontId="8" fillId="0" borderId="0" xfId="0" applyFont="1" applyAlignment="1">
      <alignment vertical="top" wrapText="1"/>
    </xf>
    <xf numFmtId="0" fontId="0" fillId="0" borderId="6" xfId="0" applyBorder="1"/>
    <xf numFmtId="1" fontId="0" fillId="0" borderId="2" xfId="0" applyNumberFormat="1" applyBorder="1"/>
    <xf numFmtId="49" fontId="0" fillId="0" borderId="0" xfId="0" quotePrefix="1" applyNumberFormat="1" applyAlignment="1">
      <alignment vertical="top"/>
    </xf>
    <xf numFmtId="49" fontId="0" fillId="3" borderId="0" xfId="0" quotePrefix="1" applyNumberFormat="1" applyFill="1" applyAlignment="1">
      <alignment vertical="top"/>
    </xf>
    <xf numFmtId="14" fontId="0" fillId="0" borderId="0" xfId="0" applyNumberFormat="1" applyAlignment="1">
      <alignment vertical="top"/>
    </xf>
    <xf numFmtId="0" fontId="0" fillId="7" borderId="0" xfId="0" applyFill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0" xfId="0" quotePrefix="1" applyFill="1" applyAlignment="1">
      <alignment vertical="top"/>
    </xf>
    <xf numFmtId="1" fontId="0" fillId="12" borderId="2" xfId="0" applyNumberFormat="1" applyFill="1" applyBorder="1"/>
    <xf numFmtId="1" fontId="9" fillId="12" borderId="2" xfId="0" applyNumberFormat="1" applyFont="1" applyFill="1" applyBorder="1"/>
    <xf numFmtId="1" fontId="10" fillId="12" borderId="2" xfId="0" applyNumberFormat="1" applyFont="1" applyFill="1" applyBorder="1"/>
    <xf numFmtId="1" fontId="0" fillId="0" borderId="0" xfId="0" applyNumberFormat="1"/>
    <xf numFmtId="1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0" fontId="0" fillId="8" borderId="0" xfId="0" quotePrefix="1" applyFill="1" applyAlignment="1">
      <alignment vertical="top"/>
    </xf>
    <xf numFmtId="0" fontId="0" fillId="0" borderId="7" xfId="0" quotePrefix="1" applyBorder="1" applyAlignment="1">
      <alignment vertical="top"/>
    </xf>
    <xf numFmtId="0" fontId="0" fillId="6" borderId="0" xfId="0" quotePrefix="1" applyFill="1" applyAlignment="1">
      <alignment vertical="top"/>
    </xf>
    <xf numFmtId="0" fontId="6" fillId="14" borderId="4" xfId="0" applyFont="1" applyFill="1" applyBorder="1"/>
    <xf numFmtId="164" fontId="0" fillId="0" borderId="0" xfId="0" applyNumberFormat="1"/>
    <xf numFmtId="49" fontId="0" fillId="0" borderId="5" xfId="0" applyNumberFormat="1" applyBorder="1" applyAlignment="1">
      <alignment vertical="top"/>
    </xf>
    <xf numFmtId="49" fontId="0" fillId="11" borderId="0" xfId="0" applyNumberFormat="1" applyFill="1"/>
    <xf numFmtId="0" fontId="0" fillId="0" borderId="5" xfId="0" applyBorder="1" applyAlignment="1">
      <alignment vertical="top"/>
    </xf>
    <xf numFmtId="49" fontId="0" fillId="15" borderId="0" xfId="0" quotePrefix="1" applyNumberFormat="1" applyFill="1" applyAlignment="1">
      <alignment vertical="top"/>
    </xf>
    <xf numFmtId="0" fontId="0" fillId="0" borderId="5" xfId="0" quotePrefix="1" applyBorder="1" applyAlignment="1">
      <alignment vertical="top"/>
    </xf>
    <xf numFmtId="0" fontId="12" fillId="12" borderId="8" xfId="0" applyFont="1" applyFill="1" applyBorder="1" applyAlignment="1">
      <alignment vertical="top" wrapText="1"/>
    </xf>
    <xf numFmtId="1" fontId="11" fillId="12" borderId="2" xfId="0" applyNumberFormat="1" applyFont="1" applyFill="1" applyBorder="1"/>
    <xf numFmtId="1" fontId="12" fillId="12" borderId="8" xfId="0" applyNumberFormat="1" applyFont="1" applyFill="1" applyBorder="1" applyAlignment="1">
      <alignment vertical="top" wrapText="1"/>
    </xf>
    <xf numFmtId="2" fontId="0" fillId="0" borderId="0" xfId="0" applyNumberFormat="1"/>
    <xf numFmtId="0" fontId="0" fillId="0" borderId="0" xfId="0" applyAlignment="1">
      <alignment horizontal="right" vertical="top"/>
    </xf>
    <xf numFmtId="0" fontId="6" fillId="13" borderId="0" xfId="0" applyFont="1" applyFill="1" applyAlignment="1">
      <alignment vertical="top"/>
    </xf>
    <xf numFmtId="0" fontId="0" fillId="2" borderId="0" xfId="0" applyFill="1" applyAlignment="1">
      <alignment vertical="top"/>
    </xf>
    <xf numFmtId="165" fontId="0" fillId="2" borderId="0" xfId="0" applyNumberFormat="1" applyFill="1" applyAlignment="1">
      <alignment vertical="top"/>
    </xf>
    <xf numFmtId="165" fontId="0" fillId="0" borderId="0" xfId="0" applyNumberFormat="1" applyAlignment="1">
      <alignment vertical="top"/>
    </xf>
    <xf numFmtId="14" fontId="0" fillId="2" borderId="0" xfId="0" applyNumberFormat="1" applyFill="1" applyAlignment="1">
      <alignment vertical="top"/>
    </xf>
    <xf numFmtId="165" fontId="0" fillId="0" borderId="0" xfId="0" applyNumberFormat="1" applyAlignment="1">
      <alignment horizontal="right" vertical="top"/>
    </xf>
    <xf numFmtId="165" fontId="0" fillId="2" borderId="0" xfId="0" applyNumberFormat="1" applyFill="1" applyAlignment="1">
      <alignment horizontal="right" vertical="top"/>
    </xf>
    <xf numFmtId="165" fontId="2" fillId="0" borderId="0" xfId="0" applyNumberFormat="1" applyFont="1" applyAlignment="1">
      <alignment horizontal="right" vertical="top"/>
    </xf>
    <xf numFmtId="0" fontId="4" fillId="0" borderId="0" xfId="0" applyFont="1" applyAlignment="1">
      <alignment vertical="top"/>
    </xf>
    <xf numFmtId="14" fontId="0" fillId="0" borderId="0" xfId="0" applyNumberFormat="1"/>
    <xf numFmtId="166" fontId="0" fillId="0" borderId="0" xfId="0" applyNumberFormat="1"/>
    <xf numFmtId="0" fontId="13" fillId="0" borderId="0" xfId="0" applyFont="1" applyAlignment="1">
      <alignment vertical="top"/>
    </xf>
    <xf numFmtId="0" fontId="0" fillId="16" borderId="0" xfId="0" applyFill="1" applyAlignment="1">
      <alignment vertical="top"/>
    </xf>
    <xf numFmtId="0" fontId="14" fillId="16" borderId="0" xfId="0" applyFont="1" applyFill="1" applyAlignment="1">
      <alignment vertical="top"/>
    </xf>
    <xf numFmtId="0" fontId="4" fillId="16" borderId="0" xfId="0" applyFont="1" applyFill="1" applyAlignment="1">
      <alignment vertical="top"/>
    </xf>
    <xf numFmtId="0" fontId="14" fillId="17" borderId="0" xfId="0" applyFont="1" applyFill="1" applyAlignment="1">
      <alignment vertical="top"/>
    </xf>
    <xf numFmtId="0" fontId="0" fillId="17" borderId="0" xfId="0" applyFill="1" applyAlignment="1">
      <alignment vertical="top"/>
    </xf>
    <xf numFmtId="0" fontId="0" fillId="16" borderId="0" xfId="0" quotePrefix="1" applyFill="1" applyAlignment="1">
      <alignment vertical="top"/>
    </xf>
    <xf numFmtId="1" fontId="0" fillId="16" borderId="0" xfId="0" applyNumberFormat="1" applyFill="1" applyAlignment="1">
      <alignment vertical="top"/>
    </xf>
    <xf numFmtId="0" fontId="0" fillId="17" borderId="0" xfId="0" quotePrefix="1" applyFill="1" applyAlignment="1">
      <alignment vertical="top"/>
    </xf>
    <xf numFmtId="1" fontId="0" fillId="17" borderId="0" xfId="0" applyNumberFormat="1" applyFill="1" applyAlignment="1">
      <alignment vertical="top"/>
    </xf>
    <xf numFmtId="0" fontId="13" fillId="16" borderId="0" xfId="0" applyFont="1" applyFill="1" applyAlignment="1">
      <alignment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06">
    <dxf>
      <fill>
        <patternFill>
          <fgColor indexed="64"/>
          <bgColor indexed="65"/>
        </patternFill>
      </fill>
      <alignment horizontal="general" vertical="top"/>
    </dxf>
    <dxf>
      <alignment horizontal="general" vertical="top"/>
    </dxf>
    <dxf>
      <numFmt numFmtId="0" formatCode="General"/>
      <fill>
        <patternFill patternType="solid">
          <fgColor indexed="64"/>
          <bgColor theme="5" tint="0.39997558519241921"/>
        </patternFill>
      </fill>
      <border>
        <left/>
        <right style="thin">
          <color indexed="64"/>
        </right>
        <top/>
        <bottom/>
        <vertical/>
        <horizontal/>
      </border>
    </dxf>
    <dxf>
      <numFmt numFmtId="0" formatCode="General"/>
      <fill>
        <patternFill patternType="solid">
          <fgColor indexed="64"/>
          <bgColor theme="5" tint="0.39997558519241921"/>
        </patternFill>
      </fill>
      <border>
        <left/>
        <right style="thin">
          <color indexed="64"/>
        </right>
        <top/>
        <bottom/>
        <vertical/>
        <horizontal/>
      </border>
    </dxf>
    <dxf>
      <numFmt numFmtId="0" formatCode="General"/>
      <fill>
        <patternFill patternType="solid">
          <fgColor indexed="64"/>
          <bgColor theme="5" tint="0.39997558519241921"/>
        </patternFill>
      </fill>
      <border>
        <left/>
        <right style="thin">
          <color indexed="64"/>
        </right>
        <top/>
        <bottom/>
        <vertical/>
        <horizontal/>
      </border>
    </dxf>
    <dxf>
      <numFmt numFmtId="0" formatCode="General"/>
      <fill>
        <patternFill patternType="solid">
          <fgColor indexed="64"/>
          <bgColor theme="5" tint="0.39997558519241921"/>
        </patternFill>
      </fill>
      <border>
        <left/>
        <right style="thin">
          <color indexed="64"/>
        </right>
        <top/>
        <bottom/>
        <vertical/>
        <horizontal/>
      </border>
    </dxf>
    <dxf>
      <border outline="0">
        <left style="thin">
          <color indexed="64"/>
        </left>
      </border>
    </dxf>
    <dxf>
      <numFmt numFmtId="0" formatCode="General"/>
      <fill>
        <patternFill patternType="solid">
          <fgColor indexed="64"/>
          <bgColor theme="5" tint="0.39997558519241921"/>
        </patternFill>
      </fill>
      <border>
        <left/>
        <right style="thin">
          <color indexed="64"/>
        </right>
        <top/>
        <bottom/>
      </border>
    </dxf>
    <dxf>
      <border outline="0">
        <left style="thin">
          <color indexed="64"/>
        </left>
      </border>
    </dxf>
    <dxf>
      <font>
        <strike val="0"/>
        <outline val="0"/>
        <shadow val="0"/>
        <vertAlign val="baseline"/>
        <sz val="11"/>
        <color auto="1"/>
        <name val="Calibri"/>
        <scheme val="minor"/>
      </font>
      <numFmt numFmtId="1" formatCode="0"/>
      <fill>
        <patternFill>
          <fgColor indexed="64"/>
          <bgColor theme="5" tint="0.39997558519241921"/>
        </patternFill>
      </fill>
      <border outline="0">
        <left/>
        <right style="thin">
          <color indexed="64"/>
        </right>
        <top/>
        <bottom/>
      </border>
    </dxf>
    <dxf>
      <numFmt numFmtId="30" formatCode="@"/>
    </dxf>
    <dxf>
      <alignment horizontal="general" vertical="top" wrapText="1"/>
    </dxf>
    <dxf>
      <numFmt numFmtId="0" formatCode="General"/>
      <alignment horizontal="general" vertical="top"/>
    </dxf>
    <dxf>
      <numFmt numFmtId="0" formatCode="General"/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 wrapText="1"/>
    </dxf>
    <dxf>
      <numFmt numFmtId="30" formatCode="@"/>
    </dxf>
    <dxf>
      <alignment horizontal="general" vertical="top" wrapText="1"/>
    </dxf>
    <dxf>
      <alignment horizontal="general" vertical="top"/>
    </dxf>
    <dxf>
      <alignment horizontal="general" vertical="top"/>
    </dxf>
    <dxf>
      <fill>
        <patternFill>
          <fgColor indexed="64"/>
          <bgColor indexed="65"/>
        </patternFill>
      </fill>
      <alignment horizontal="general" vertical="top"/>
    </dxf>
    <dxf>
      <fill>
        <patternFill>
          <fgColor indexed="64"/>
          <bgColor indexed="65"/>
        </patternFill>
      </fill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numFmt numFmtId="0" formatCode="General"/>
      <alignment horizontal="general" vertical="top"/>
    </dxf>
    <dxf>
      <numFmt numFmtId="0" formatCode="General"/>
      <alignment horizontal="general" vertical="top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numFmt numFmtId="0" formatCode="General"/>
      <alignment horizontal="general" vertical="top"/>
    </dxf>
    <dxf>
      <numFmt numFmtId="0" formatCode="General"/>
      <alignment horizontal="general" vertical="top"/>
    </dxf>
    <dxf>
      <alignment horizontal="general" vertical="bottom"/>
    </dxf>
    <dxf>
      <alignment horizontal="general" vertical="bottom"/>
    </dxf>
    <dxf>
      <alignment horizontal="general" vertical="bottom"/>
    </dxf>
    <dxf>
      <numFmt numFmtId="167" formatCode="m/d/yyyy"/>
      <alignment horizontal="general" vertical="bottom"/>
    </dxf>
    <dxf>
      <numFmt numFmtId="167" formatCode="m/d/yyyy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fill>
        <patternFill>
          <fgColor indexed="64"/>
          <bgColor indexed="65"/>
        </patternFill>
      </fill>
      <alignment horizontal="general" vertical="top"/>
    </dxf>
    <dxf>
      <fill>
        <patternFill>
          <fgColor indexed="64"/>
          <bgColor indexed="65"/>
        </patternFill>
      </fill>
      <alignment horizontal="general" vertical="top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top" textRotation="0" wrapText="0" indent="0" justifyLastLine="0" shrinkToFit="0" readingOrder="0"/>
    </dxf>
    <dxf>
      <alignment horizontal="general" vertical="bottom"/>
    </dxf>
    <dxf>
      <fill>
        <patternFill patternType="solid">
          <fgColor indexed="64"/>
          <bgColor theme="7"/>
        </patternFill>
      </fill>
      <alignment horizontal="general" vertical="bottom"/>
    </dxf>
    <dxf>
      <fill>
        <patternFill>
          <bgColor theme="7"/>
        </patternFill>
      </fill>
    </dxf>
    <dxf>
      <alignment horizontal="general" vertical="bottom"/>
    </dxf>
    <dxf>
      <alignment horizontal="general" vertical="bottom"/>
    </dxf>
    <dxf>
      <alignment horizontal="general" vertical="bottom"/>
    </dxf>
    <dxf>
      <border outline="0">
        <right style="thin">
          <color rgb="FF000000"/>
        </right>
      </border>
    </dxf>
    <dxf>
      <alignment horizontal="general" vertical="bottom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I68" totalsRowShown="0" headerRowDxfId="105" tableBorderDxfId="104">
  <autoFilter ref="A1:AI68" xr:uid="{00000000-0009-0000-0100-000001000000}"/>
  <sortState xmlns:xlrd2="http://schemas.microsoft.com/office/spreadsheetml/2017/richdata2" ref="A2:AI68">
    <sortCondition ref="A1:A68"/>
  </sortState>
  <tableColumns count="35">
    <tableColumn id="1" xr3:uid="{00000000-0010-0000-0000-000001000000}" name="Subject" totalsRowDxfId="103"/>
    <tableColumn id="2" xr3:uid="{00000000-0010-0000-0000-000002000000}" name="Age" totalsRowDxfId="102"/>
    <tableColumn id="3" xr3:uid="{00000000-0010-0000-0000-000003000000}" name="Sex" totalsRowDxfId="101"/>
    <tableColumn id="4" xr3:uid="{00000000-0010-0000-0000-000004000000}" name="Measured Leg" dataDxfId="100" totalsRowDxfId="99"/>
    <tableColumn id="5" xr3:uid="{00000000-0010-0000-0000-000005000000}" name="Dominant Leg " totalsRowDxfId="98"/>
    <tableColumn id="13" xr3:uid="{C9829FE8-EED4-4D6D-A3F4-FE8FBD360404}" name="Squat_used" dataDxfId="97" totalsRowDxfId="96"/>
    <tableColumn id="30" xr3:uid="{00000000-0010-0000-0000-00001E000000}" name="StrengthData" totalsRowDxfId="95"/>
    <tableColumn id="27" xr3:uid="{00000000-0010-0000-0000-00001B000000}" name="Alpha angle" totalsRowDxfId="94"/>
    <tableColumn id="45" xr3:uid="{00000000-0010-0000-0000-00002D000000}" name="Centre edge angle" dataDxfId="93" totalsRowDxfId="92"/>
    <tableColumn id="6" xr3:uid="{00000000-0010-0000-0000-000006000000}" name="Group" totalsRowDxfId="91"/>
    <tableColumn id="28" xr3:uid="{00000000-0010-0000-0000-00001C000000}" name="Intramuscular" totalsRowDxfId="90"/>
    <tableColumn id="25" xr3:uid="{00000000-0010-0000-0000-000019000000}" name="FADIR" totalsRowDxfId="89"/>
    <tableColumn id="26" xr3:uid="{00000000-0010-0000-0000-00001A000000}" name="FABER" totalsRowDxfId="88"/>
    <tableColumn id="29" xr3:uid="{00000000-0010-0000-0000-00001D000000}" name="Pain" totalsRowDxfId="87"/>
    <tableColumn id="7" xr3:uid="{00000000-0010-0000-0000-000007000000}" name="Symptomatic side" totalsRowDxfId="86"/>
    <tableColumn id="8" xr3:uid="{00000000-0010-0000-0000-000008000000}" name="Duration of Symptoms" totalsRowDxfId="85"/>
    <tableColumn id="24" xr3:uid="{00000000-0010-0000-0000-000018000000}" name="Birth Date" totalsRowDxfId="84"/>
    <tableColumn id="9" xr3:uid="{00000000-0010-0000-0000-000009000000}" name="Date" dataDxfId="83" totalsRowDxfId="82"/>
    <tableColumn id="10" xr3:uid="{00000000-0010-0000-0000-00000A000000}" name="Date_num" totalsRowDxfId="81"/>
    <tableColumn id="11" xr3:uid="{00000000-0010-0000-0000-00000B000000}" name="Weight" totalsRowDxfId="80"/>
    <tableColumn id="12" xr3:uid="{00000000-0010-0000-0000-00000C000000}" name="Height" totalsRowDxfId="79"/>
    <tableColumn id="47" xr3:uid="{00000000-0010-0000-0000-00002F000000}" name="BMI" dataDxfId="78" totalsRowDxfId="77">
      <calculatedColumnFormula>Table1[[#This Row],[Weight]]/((Table1[[#This Row],[Height]]/100)^2)</calculatedColumnFormula>
    </tableColumn>
    <tableColumn id="31" xr3:uid="{00000000-0010-0000-0000-00001F000000}" name="Current level" dataDxfId="76" totalsRowDxfId="75"/>
    <tableColumn id="32" xr3:uid="{00000000-0010-0000-0000-000020000000}" name="If you are no longer exercising at the same level, please indicate the reasons" dataDxfId="74" totalsRowDxfId="73"/>
    <tableColumn id="33" xr3:uid="{00000000-0010-0000-0000-000021000000}" name="Total hours exercise per week" dataDxfId="72" totalsRowDxfId="71"/>
    <tableColumn id="46" xr3:uid="{00000000-0010-0000-0000-00002E000000}" name="Total min exer per week " dataDxfId="70" totalsRowDxfId="69">
      <calculatedColumnFormula>Table1[[#This Row],[Total hours exercise per week]]*60</calculatedColumnFormula>
    </tableColumn>
    <tableColumn id="43" xr3:uid="{00000000-0010-0000-0000-00002B000000}" name="Sports" dataDxfId="68" totalsRowDxfId="67"/>
    <tableColumn id="34" xr3:uid="{00000000-0010-0000-0000-000022000000}" name="Sports Category (based on Nawabi et al. 2014)" dataDxfId="66" totalsRowDxfId="65"/>
    <tableColumn id="40" xr3:uid="{00000000-0010-0000-0000-000028000000}" name="Total Hours Competetive sport per week" dataDxfId="64" totalsRowDxfId="63"/>
    <tableColumn id="39" xr3:uid="{00000000-0010-0000-0000-000027000000}" name="Competetive Sport" dataDxfId="62" totalsRowDxfId="61"/>
    <tableColumn id="35" xr3:uid="{00000000-0010-0000-0000-000023000000}" name="Highest level of competition" dataDxfId="60" totalsRowDxfId="59"/>
    <tableColumn id="36" xr3:uid="{00000000-0010-0000-0000-000024000000}" name="Sport" dataDxfId="58" totalsRowDxfId="57"/>
    <tableColumn id="37" xr3:uid="{00000000-0010-0000-0000-000025000000}" name="SumYears" dataDxfId="56" totalsRowDxfId="55"/>
    <tableColumn id="42" xr3:uid="{00000000-0010-0000-0000-00002A000000}" name="Modified Tagner BEFORE" dataDxfId="54" totalsRowDxfId="53"/>
    <tableColumn id="41" xr3:uid="{00000000-0010-0000-0000-000029000000}" name="Modified Tagner CURRENT" dataDxfId="52" totalsRowDxfId="5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39" displayName="Table39" ref="A1:M18" totalsRowShown="0">
  <autoFilter ref="A1:M18" xr:uid="{00000000-0009-0000-0100-000006000000}"/>
  <tableColumns count="13">
    <tableColumn id="1" xr3:uid="{00000000-0010-0000-0500-000001000000}" name="Labels meanning"/>
    <tableColumn id="20" xr3:uid="{00000000-0010-0000-0500-000014000000}" name="s019"/>
    <tableColumn id="39" xr3:uid="{00000000-0010-0000-0500-000027000000}" name="s038"/>
    <tableColumn id="40" xr3:uid="{00000000-0010-0000-0500-000028000000}" name="s039"/>
    <tableColumn id="41" xr3:uid="{00000000-0010-0000-0500-000029000000}" name="s040"/>
    <tableColumn id="42" xr3:uid="{00000000-0010-0000-0500-00002A000000}" name="s041"/>
    <tableColumn id="45" xr3:uid="{00000000-0010-0000-0500-00002D000000}" name="s044"/>
    <tableColumn id="48" xr3:uid="{00000000-0010-0000-0500-000030000000}" name="s047"/>
    <tableColumn id="55" xr3:uid="{00000000-0010-0000-0500-000037000000}" name="s054"/>
    <tableColumn id="78" xr3:uid="{00000000-0010-0000-0500-00004E000000}" name="s064"/>
    <tableColumn id="74" xr3:uid="{00000000-0010-0000-0500-00004A000000}" name="s073"/>
    <tableColumn id="76" xr3:uid="{00000000-0010-0000-0500-00004C000000}" name="s075"/>
    <tableColumn id="77" xr3:uid="{00000000-0010-0000-0500-00004D000000}" name="s076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0A76DD1-5DE8-4E8F-9842-22FE20F6F02B}" name="Table398" displayName="Table398" ref="A1:M17" totalsRowShown="0">
  <autoFilter ref="A1:M17" xr:uid="{00000000-0009-0000-0100-000006000000}"/>
  <tableColumns count="13">
    <tableColumn id="1" xr3:uid="{055E3D8B-04C1-49E8-8904-73CA621561CD}" name="Labels meanning"/>
    <tableColumn id="20" xr3:uid="{4106BF8D-BB73-40D5-888C-844D83CACBC2}" name="s019"/>
    <tableColumn id="39" xr3:uid="{89F3FD28-829E-40E3-980F-8BFE442708AA}" name="s038"/>
    <tableColumn id="40" xr3:uid="{5AB56E5A-D82E-4D5E-A293-DAEB6A7AC858}" name="s039"/>
    <tableColumn id="41" xr3:uid="{31266412-61CF-4B63-804D-8B912F13F757}" name="s040"/>
    <tableColumn id="42" xr3:uid="{BC202CC6-22F8-482B-A0E9-F3FCF044C4D2}" name="s041"/>
    <tableColumn id="45" xr3:uid="{4C4CB8C8-D18A-490D-99E9-F8CCB499F1EE}" name="s044"/>
    <tableColumn id="48" xr3:uid="{0AAC72E9-8B39-418E-BAF5-982EC077A9C1}" name="s047"/>
    <tableColumn id="55" xr3:uid="{3FBD9BD9-BF1C-4469-BD20-DB619B1273A7}" name="s054"/>
    <tableColumn id="74" xr3:uid="{666B3656-610A-4B67-B5FB-61859EF01368}" name="s073"/>
    <tableColumn id="76" xr3:uid="{0CEA4F04-1436-4007-9738-EA48450F055E}" name="s075"/>
    <tableColumn id="77" xr3:uid="{3A196D76-DC0E-4D9E-9B22-DAB109642C4B}" name="s076"/>
    <tableColumn id="78" xr3:uid="{E6073CC8-715F-4913-8C8C-0A04183000DF}" name="s077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5" displayName="Table5" ref="A1:O23" totalsRowShown="0" headerRowDxfId="50">
  <autoFilter ref="A1:O23" xr:uid="{00000000-0009-0000-0100-000002000000}"/>
  <tableColumns count="15">
    <tableColumn id="1" xr3:uid="{00000000-0010-0000-0100-000001000000}" name="Subject" dataDxfId="49"/>
    <tableColumn id="2" xr3:uid="{00000000-0010-0000-0100-000002000000}" name="Joint mobilisation/manipulation"/>
    <tableColumn id="3" xr3:uid="{00000000-0010-0000-0100-000003000000}" name="Stretching"/>
    <tableColumn id="4" xr3:uid="{00000000-0010-0000-0100-000004000000}" name="Strengtheneing"/>
    <tableColumn id="5" xr3:uid="{00000000-0010-0000-0100-000005000000}" name="Yoga"/>
    <tableColumn id="6" xr3:uid="{00000000-0010-0000-0100-000006000000}" name="Pilates"/>
    <tableColumn id="7" xr3:uid="{00000000-0010-0000-0100-000007000000}" name="Massage "/>
    <tableColumn id="8" xr3:uid="{00000000-0010-0000-0100-000008000000}" name="Acupuncture/dry needling"/>
    <tableColumn id="9" xr3:uid="{00000000-0010-0000-0100-000009000000}" name="Heat/cold treatment"/>
    <tableColumn id="10" xr3:uid="{00000000-0010-0000-0100-00000A000000}" name="Electrotherapy (eg. Ultrasound)"/>
    <tableColumn id="11" xr3:uid="{00000000-0010-0000-0100-00000B000000}" name="Oral Anti-inflammatory medication (eg. voltaren)"/>
    <tableColumn id="12" xr3:uid="{00000000-0010-0000-0100-00000C000000}" name="Gel anti-inflammatory medication "/>
    <tableColumn id="13" xr3:uid="{00000000-0010-0000-0100-00000D000000}" name="Injection"/>
    <tableColumn id="14" xr3:uid="{00000000-0010-0000-0100-00000E000000}" name="Any herbal therapies or supplements"/>
    <tableColumn id="15" xr3:uid="{00000000-0010-0000-0100-00000F000000}" name="Surgery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7" displayName="Table7" ref="A2:AJ17" totalsRowShown="0" headerRowDxfId="48" dataDxfId="47">
  <autoFilter ref="A2:AJ17" xr:uid="{00000000-0009-0000-0100-000003000000}"/>
  <sortState xmlns:xlrd2="http://schemas.microsoft.com/office/spreadsheetml/2017/richdata2" ref="A3:AJ22">
    <sortCondition ref="A2:A22"/>
  </sortState>
  <tableColumns count="36">
    <tableColumn id="1" xr3:uid="{00000000-0010-0000-0200-000001000000}" name="Subject"/>
    <tableColumn id="2" xr3:uid="{00000000-0010-0000-0200-000002000000}" name="Q01 How often does your hip/groin ache?" dataDxfId="46"/>
    <tableColumn id="3" xr3:uid="{00000000-0010-0000-0200-000003000000}" name="Q02 How stiff is your hip as a result of sitting/resting during the day?" dataDxfId="45"/>
    <tableColumn id="4" xr3:uid="{00000000-0010-0000-0200-000004000000}" name="Q03 How difficult is it for you to walk long distances?" dataDxfId="44"/>
    <tableColumn id="5" xr3:uid="{00000000-0010-0000-0200-000005000000}" name="Q04 How much pain do you have in your hip while sitting?" dataDxfId="43"/>
    <tableColumn id="6" xr3:uid="{00000000-0010-0000-0200-000006000000}" name="Q05 How much trouble do you have standing on your feet for long periods of time?" dataDxfId="42"/>
    <tableColumn id="7" xr3:uid="{00000000-0010-0000-0200-000007000000}" name="Q06 How difficult is it for you to get up and down off the floor/ground?" dataDxfId="41"/>
    <tableColumn id="8" xr3:uid="{00000000-0010-0000-0200-000008000000}" name="Q07 How difficult is it for you to walk on uneven surfaces?" dataDxfId="40"/>
    <tableColumn id="9" xr3:uid="{00000000-0010-0000-0200-000009000000}" name="Q08 How difficult is it for you to lie on your affected hip side?" dataDxfId="39"/>
    <tableColumn id="10" xr3:uid="{00000000-0010-0000-0200-00000A000000}" name="Q09 How much trouble do you have with stepping over obstacles?" dataDxfId="38"/>
    <tableColumn id="11" xr3:uid="{00000000-0010-0000-0200-00000B000000}" name="Q10 How much trouble do you have with climbing up/down stairs?" dataDxfId="37"/>
    <tableColumn id="12" xr3:uid="{00000000-0010-0000-0200-00000C000000}" name="Q11 How much trouble do you have with rising from a sitting position?" dataDxfId="36"/>
    <tableColumn id="13" xr3:uid="{00000000-0010-0000-0200-00000D000000}" name="Q12 How much discomfort do you have with taking long strides?" dataDxfId="35"/>
    <tableColumn id="14" xr3:uid="{00000000-0010-0000-0200-00000E000000}" name="Q13 How much difficulty do you have with getting into and/or out of a car?_x000a_" dataDxfId="34"/>
    <tableColumn id="15" xr3:uid="{00000000-0010-0000-0200-00000F000000}" name="Q14 How much trouble do you have with grinding, catching or clicking in your hip?" dataDxfId="33"/>
    <tableColumn id="16" xr3:uid="{00000000-0010-0000-0200-000010000000}" name="Q15 How much difficulty do you have with putting on/taking off socks, stockings or shoes?" dataDxfId="32"/>
    <tableColumn id="17" xr3:uid="{00000000-0010-0000-0200-000011000000}" name="Q16 Overall, how much pain do you have in your hip/groin?" dataDxfId="31"/>
    <tableColumn id="18" xr3:uid="{00000000-0010-0000-0200-000012000000}" name="Q17 How concerned are you about your ability to maintain your desired fitness level?" dataDxfId="30"/>
    <tableColumn id="19" xr3:uid="{00000000-0010-0000-0200-000013000000}" name="Q18 How much pain do you experience in your hip after activity?" dataDxfId="29"/>
    <tableColumn id="20" xr3:uid="{00000000-0010-0000-0200-000014000000}" name="Q19 How concerned are you that the pain in your hip will increase if you participate in sports or recreational activities?_x000a_" dataDxfId="28"/>
    <tableColumn id="21" xr3:uid="{00000000-0010-0000-0200-000015000000}" name="Q20 How much has your quality of life deteriorated because you cannot participate in sport/recreational activities?" dataDxfId="27"/>
    <tableColumn id="22" xr3:uid="{00000000-0010-0000-0200-000016000000}" name="Q21 How concerned are you about cutting/changing direction during your sport or recreational activities?" dataDxfId="26"/>
    <tableColumn id="23" xr3:uid="{00000000-0010-0000-0200-000017000000}" name="Q22 How much has your performance level decreased in your sport or recreational activities?" dataDxfId="25"/>
    <tableColumn id="24" xr3:uid="{00000000-0010-0000-0200-000018000000}" name="Q23 How much trouble do you have pushing, pulling, lifting or carrying heavy objects at work?" dataDxfId="24"/>
    <tableColumn id="25" xr3:uid="{00000000-0010-0000-0200-000019000000}" name="Q24 How much trouble do you have with crouching/squatting?_x000a_" dataDxfId="23"/>
    <tableColumn id="26" xr3:uid="{00000000-0010-0000-0200-00001A000000}" name="Q25 How concerned are you that your job will make your hip worse?_x000a__x000a_" dataDxfId="22"/>
    <tableColumn id="27" xr3:uid="{00000000-0010-0000-0200-00001B000000}" name="Q26 How much difficulty do you have at work because of reduced hip mobility?" dataDxfId="21"/>
    <tableColumn id="28" xr3:uid="{00000000-0010-0000-0200-00001C000000}" name="Q27 How frustrated are you because of your hip problem?" dataDxfId="20"/>
    <tableColumn id="29" xr3:uid="{00000000-0010-0000-0200-00001D000000}" name="Q28 How much trouble do you have with sexual activity because of your hip?" dataDxfId="19"/>
    <tableColumn id="30" xr3:uid="{00000000-0010-0000-0200-00001E000000}" name="Q29 How much of a distraction is your hip problem?" dataDxfId="18"/>
    <tableColumn id="31" xr3:uid="{00000000-0010-0000-0200-00001F000000}" name="Q30 How difficult is it for you to release tension and stress because of your hip problem?" dataDxfId="17"/>
    <tableColumn id="32" xr3:uid="{00000000-0010-0000-0200-000020000000}" name="Q31 How discouraged are you because of your hip problem?" dataDxfId="16"/>
    <tableColumn id="33" xr3:uid="{00000000-0010-0000-0200-000021000000}" name="Q32 How concerned are you about picking up or carrying children because of your hip?" dataDxfId="15"/>
    <tableColumn id="34" xr3:uid="{00000000-0010-0000-0200-000022000000}" name="Q33 How much of the time are you aware of the disability in your hip?" dataDxfId="14"/>
    <tableColumn id="35" xr3:uid="{00000000-0010-0000-0200-000023000000}" name="Sum" dataDxfId="13">
      <calculatedColumnFormula>SUM(Table7[[#This Row],[Q01 How often does your hip/groin ache?]:[Q33 How much of the time are you aware of the disability in your hip?]])/AJ3</calculatedColumnFormula>
    </tableColumn>
    <tableColumn id="36" xr3:uid="{00000000-0010-0000-0200-000024000000}" name="Column1" dataDxfId="12">
      <calculatedColumnFormula>COUNTA(B3:AH3)</calculatedColumnFormula>
    </tableColumn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AR16" totalsRowShown="0" headerRowDxfId="11">
  <autoFilter ref="A1:AR16" xr:uid="{00000000-0009-0000-0100-000004000000}"/>
  <sortState xmlns:xlrd2="http://schemas.microsoft.com/office/spreadsheetml/2017/richdata2" ref="A2:AR21">
    <sortCondition ref="A1:A21"/>
  </sortState>
  <tableColumns count="44">
    <tableColumn id="1" xr3:uid="{00000000-0010-0000-0300-000001000000}" name="Scoringleft to right (0-4)" dataDxfId="10"/>
    <tableColumn id="2" xr3:uid="{00000000-0010-0000-0300-000002000000}" name="S1. Do you feel discomfort in your hip and/or groin?"/>
    <tableColumn id="3" xr3:uid="{00000000-0010-0000-0300-000003000000}" name="S2. Do you hear clicking or any other type of noise from your hip and/or groin?"/>
    <tableColumn id="4" xr3:uid="{00000000-0010-0000-0300-000004000000}" name="S3. Do you have any difficulties stretching your legs far out to the side?"/>
    <tableColumn id="5" xr3:uid="{00000000-0010-0000-0300-000005000000}" name="S4. Do you have any difficulties taking full strides when you walk?"/>
    <tableColumn id="6" xr3:uid="{00000000-0010-0000-0300-000006000000}" name="S5. Do you experience sudden twinging/ stabbing sensations in your hip and/or groin?"/>
    <tableColumn id="7" xr3:uid="{00000000-0010-0000-0300-000007000000}" name="S6. How severe is your hip and/or groin after first awakening in the morning?"/>
    <tableColumn id="39" xr3:uid="{00000000-0010-0000-0300-000027000000}" name="S7. How severe is your hip and/or groin stiffness after sitting, lying or resting later in the day?"/>
    <tableColumn id="8" xr3:uid="{00000000-0010-0000-0300-000008000000}" name="Sum_S" dataDxfId="9">
      <calculatedColumnFormula>100-(SUM(B2:H2)*100)/28</calculatedColumnFormula>
    </tableColumn>
    <tableColumn id="9" xr3:uid="{00000000-0010-0000-0300-000009000000}" name="P1. How often is your hip and/or groin painful?" dataDxfId="8"/>
    <tableColumn id="10" xr3:uid="{00000000-0010-0000-0300-00000A000000}" name="P2. How often do you have pain in areas other than your hip and/or groin that you think may be related to your hip and/or groin problem?"/>
    <tableColumn id="11" xr3:uid="{00000000-0010-0000-0300-00000B000000}" name="P3. Straightening your hip fully"/>
    <tableColumn id="12" xr3:uid="{00000000-0010-0000-0300-00000C000000}" name="P4. Bending your hip fully"/>
    <tableColumn id="13" xr3:uid="{00000000-0010-0000-0300-00000D000000}" name="P5. Walking up or down stairs"/>
    <tableColumn id="14" xr3:uid="{00000000-0010-0000-0300-00000E000000}" name="P6. At night while in bed (pain that disturbs your sleep)"/>
    <tableColumn id="15" xr3:uid="{00000000-0010-0000-0300-00000F000000}" name="P7. Sitting or lying"/>
    <tableColumn id="16" xr3:uid="{00000000-0010-0000-0300-000010000000}" name="P8. Standing upright"/>
    <tableColumn id="17" xr3:uid="{00000000-0010-0000-0300-000011000000}" name="P9. Walking on a hard surface (asphalt, concrete, etc.)"/>
    <tableColumn id="40" xr3:uid="{00000000-0010-0000-0300-000028000000}" name="P10. Walking on an uneven surface"/>
    <tableColumn id="18" xr3:uid="{00000000-0010-0000-0300-000012000000}" name="Sum_P" dataDxfId="7">
      <calculatedColumnFormula>100-(SUM(J2:S2)*100)/40</calculatedColumnFormula>
    </tableColumn>
    <tableColumn id="19" xr3:uid="{00000000-0010-0000-0300-000013000000}" name="A1. Walking up stairs" dataDxfId="6"/>
    <tableColumn id="20" xr3:uid="{00000000-0010-0000-0300-000014000000}" name="A2. Bending down, e.g. to pick something up from the floor"/>
    <tableColumn id="21" xr3:uid="{00000000-0010-0000-0300-000015000000}" name="A3. Getting in/out of car"/>
    <tableColumn id="22" xr3:uid="{00000000-0010-0000-0300-000016000000}" name="A4. Lying in bed (turning over or maintaining the same hip position for a long time)"/>
    <tableColumn id="41" xr3:uid="{00000000-0010-0000-0300-000029000000}" name="A5. Heavy domestic duties (scrubbing floors, vacuuming, moving heavy boxes etc.)"/>
    <tableColumn id="23" xr3:uid="{00000000-0010-0000-0300-000017000000}" name="Sum_A" dataDxfId="5">
      <calculatedColumnFormula>100-(SUM(U2:Y2)*100)/20</calculatedColumnFormula>
    </tableColumn>
    <tableColumn id="24" xr3:uid="{00000000-0010-0000-0300-000018000000}" name="SP1. Squatting"/>
    <tableColumn id="25" xr3:uid="{00000000-0010-0000-0300-000019000000}" name="SP2. Running"/>
    <tableColumn id="26" xr3:uid="{00000000-0010-0000-0300-00001A000000}" name="SP3. Twisting/pivoting on a weight bearing leg"/>
    <tableColumn id="27" xr3:uid="{00000000-0010-0000-0300-00001B000000}" name="SP4. Walking on an uneven surface"/>
    <tableColumn id="28" xr3:uid="{00000000-0010-0000-0300-00001C000000}" name="SP5. Running as fast as you can"/>
    <tableColumn id="29" xr3:uid="{00000000-0010-0000-0300-00001D000000}" name="SP6. Bringing the leg forcefully forward and/or out to the side, such as in kicking, skating etc."/>
    <tableColumn id="30" xr3:uid="{00000000-0010-0000-0300-00001E000000}" name="SP7. Sudden explosive movements that involve quick footwork, such as accelerations, decelerations, change of direction etc."/>
    <tableColumn id="42" xr3:uid="{00000000-0010-0000-0300-00002A000000}" name="SP8. Situations where the leg is stretched into an outer position (such as when the leg is placed as far away from the body as possible)"/>
    <tableColumn id="31" xr3:uid="{00000000-0010-0000-0300-00001F000000}" name="Sum_SP" dataDxfId="4">
      <calculatedColumnFormula>100-(SUM(AA2:AH2)*100)/32</calculatedColumnFormula>
    </tableColumn>
    <tableColumn id="32" xr3:uid="{00000000-0010-0000-0300-000020000000}" name="PA1. Are you able to participate in your preferred physical activities for as long as you would like?"/>
    <tableColumn id="43" xr3:uid="{00000000-0010-0000-0300-00002B000000}" name="PA2. Are you able to participate in your preferred physical activities at your normal performance level?"/>
    <tableColumn id="33" xr3:uid="{00000000-0010-0000-0300-000021000000}" name="Sum_PA" dataDxfId="3">
      <calculatedColumnFormula>100-(SUM(AJ2:AK2)*100)/8</calculatedColumnFormula>
    </tableColumn>
    <tableColumn id="34" xr3:uid="{00000000-0010-0000-0300-000022000000}" name="Q1. How often are you aware of your hip and/or groin problem?"/>
    <tableColumn id="35" xr3:uid="{00000000-0010-0000-0300-000023000000}" name="Q2. Have you modified your life style to avoid activities potentially damaging to your hip and/or groin?"/>
    <tableColumn id="36" xr3:uid="{00000000-0010-0000-0300-000024000000}" name="Q3. In general, how much difficulty do you have with your hip and/or groin?"/>
    <tableColumn id="37" xr3:uid="{00000000-0010-0000-0300-000025000000}" name="Q4. Does your hip and/or groin problem affect your mood in a negative way?"/>
    <tableColumn id="38" xr3:uid="{00000000-0010-0000-0300-000026000000}" name="Q5. Do you feel restricted due to your hip and/or groin problem?"/>
    <tableColumn id="44" xr3:uid="{00000000-0010-0000-0300-00002C000000}" name="Sum_Q" dataDxfId="2">
      <calculatedColumnFormula>100-(SUM(AM2:AQ2)*100)/20</calculatedColumnFormula>
    </tableColumn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3" displayName="Table3" ref="A1:AG75" totalsRowShown="0">
  <autoFilter ref="A1:AG75" xr:uid="{00000000-0009-0000-0100-000005000000}">
    <filterColumn colId="1">
      <filters>
        <filter val="FAIS"/>
      </filters>
    </filterColumn>
  </autoFilter>
  <tableColumns count="33">
    <tableColumn id="1" xr3:uid="{00000000-0010-0000-0400-000001000000}" name="Subject" dataDxfId="1"/>
    <tableColumn id="2" xr3:uid="{00000000-0010-0000-0400-000002000000}" name="Group " dataDxfId="0"/>
    <tableColumn id="3" xr3:uid="{00000000-0010-0000-0400-000003000000}" name="HE"/>
    <tableColumn id="4" xr3:uid="{00000000-0010-0000-0400-000004000000}" name="HEAB"/>
    <tableColumn id="5" xr3:uid="{00000000-0010-0000-0400-000005000000}" name="HEER"/>
    <tableColumn id="6" xr3:uid="{00000000-0010-0000-0400-000006000000}" name="HEABER"/>
    <tableColumn id="7" xr3:uid="{00000000-0010-0000-0400-000007000000}" name="HF"/>
    <tableColumn id="8" xr3:uid="{00000000-0010-0000-0400-000008000000}" name="HADD"/>
    <tableColumn id="9" xr3:uid="{00000000-0010-0000-0400-000009000000}" name="HABD"/>
    <tableColumn id="10" xr3:uid="{00000000-0010-0000-0400-00000A000000}" name="HER"/>
    <tableColumn id="11" xr3:uid="{00000000-0010-0000-0400-00000B000000}" name="HIR"/>
    <tableColumn id="17" xr3:uid="{00000000-0010-0000-0400-000011000000}" name="Walk"/>
    <tableColumn id="33" xr3:uid="{00000000-0010-0000-0400-000021000000}" name="SquatJump"/>
    <tableColumn id="16" xr3:uid="{00000000-0010-0000-0400-000010000000}" name="SquatNorm"/>
    <tableColumn id="12" xr3:uid="{00000000-0010-0000-0400-00000C000000}" name="RestrictSquat"/>
    <tableColumn id="15" xr3:uid="{00000000-0010-0000-0400-00000F000000}" name="SLS_front"/>
    <tableColumn id="29" xr3:uid="{00000000-0010-0000-0400-00001D000000}" name="SLS_back"/>
    <tableColumn id="31" xr3:uid="{00000000-0010-0000-0400-00001F000000}" name="Run_pre"/>
    <tableColumn id="32" xr3:uid="{00000000-0010-0000-0400-000020000000}" name="Cut_pre"/>
    <tableColumn id="13" xr3:uid="{00000000-0010-0000-0400-00000D000000}" name="Run_post"/>
    <tableColumn id="14" xr3:uid="{00000000-0010-0000-0400-00000E000000}" name="Cut_pre2"/>
    <tableColumn id="18" xr3:uid="{00000000-0010-0000-0400-000012000000}" name="SquatNorm_post"/>
    <tableColumn id="19" xr3:uid="{00000000-0010-0000-0400-000013000000}" name="SLS_front_post"/>
    <tableColumn id="30" xr3:uid="{00000000-0010-0000-0400-00001E000000}" name="SLS_back_post"/>
    <tableColumn id="20" xr3:uid="{00000000-0010-0000-0400-000014000000}" name="HE_post"/>
    <tableColumn id="21" xr3:uid="{00000000-0010-0000-0400-000015000000}" name="HEAB_post"/>
    <tableColumn id="22" xr3:uid="{00000000-0010-0000-0400-000016000000}" name="HEER_post"/>
    <tableColumn id="23" xr3:uid="{00000000-0010-0000-0400-000017000000}" name="HEABER_post"/>
    <tableColumn id="24" xr3:uid="{00000000-0010-0000-0400-000018000000}" name="HF_post"/>
    <tableColumn id="25" xr3:uid="{00000000-0010-0000-0400-000019000000}" name="HADD_post"/>
    <tableColumn id="26" xr3:uid="{00000000-0010-0000-0400-00001A000000}" name="HABD_post"/>
    <tableColumn id="27" xr3:uid="{00000000-0010-0000-0400-00001B000000}" name="HER_post"/>
    <tableColumn id="28" xr3:uid="{00000000-0010-0000-0400-00001C000000}" name="HIR_post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4"/>
  <sheetViews>
    <sheetView zoomScaleNormal="100" workbookViewId="0">
      <pane xSplit="1" ySplit="1" topLeftCell="B10" activePane="bottomRight" state="frozen"/>
      <selection pane="topRight"/>
      <selection pane="bottomLeft"/>
      <selection pane="bottomRight" activeCell="D54" sqref="D54"/>
    </sheetView>
  </sheetViews>
  <sheetFormatPr defaultColWidth="9.140625" defaultRowHeight="15" x14ac:dyDescent="0.25"/>
  <cols>
    <col min="1" max="1" width="10" bestFit="1" customWidth="1"/>
    <col min="2" max="2" width="7.85546875" customWidth="1"/>
    <col min="4" max="5" width="7.5703125" customWidth="1"/>
    <col min="6" max="6" width="12.85546875" bestFit="1" customWidth="1"/>
    <col min="7" max="20" width="7.5703125" customWidth="1"/>
    <col min="21" max="21" width="10" bestFit="1" customWidth="1"/>
    <col min="22" max="22" width="9.28515625" bestFit="1" customWidth="1"/>
    <col min="23" max="23" width="22.28515625" customWidth="1"/>
    <col min="24" max="24" width="26.7109375" customWidth="1"/>
    <col min="25" max="27" width="14.42578125" customWidth="1"/>
    <col min="28" max="32" width="8.7109375" customWidth="1"/>
    <col min="33" max="34" width="8.7109375" style="11" customWidth="1"/>
    <col min="35" max="35" width="12.42578125" style="11" customWidth="1"/>
    <col min="36" max="36" width="15.7109375" customWidth="1"/>
  </cols>
  <sheetData>
    <row r="1" spans="1:35" ht="4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408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s="54" t="s">
        <v>21</v>
      </c>
      <c r="X1" s="54" t="s">
        <v>22</v>
      </c>
      <c r="Y1" s="54" t="s">
        <v>23</v>
      </c>
      <c r="Z1" s="54" t="s">
        <v>24</v>
      </c>
      <c r="AA1" s="54" t="s">
        <v>25</v>
      </c>
      <c r="AB1" s="54" t="s">
        <v>26</v>
      </c>
      <c r="AC1" s="54" t="s">
        <v>27</v>
      </c>
      <c r="AD1" s="54" t="s">
        <v>28</v>
      </c>
      <c r="AE1" s="54" t="s">
        <v>29</v>
      </c>
      <c r="AF1" s="11" t="s">
        <v>30</v>
      </c>
      <c r="AG1" s="11" t="s">
        <v>31</v>
      </c>
      <c r="AH1" s="11" t="s">
        <v>32</v>
      </c>
      <c r="AI1" s="11" t="s">
        <v>33</v>
      </c>
    </row>
    <row r="2" spans="1:35" s="11" customFormat="1" x14ac:dyDescent="0.25">
      <c r="A2" s="26" t="s">
        <v>59</v>
      </c>
      <c r="B2" s="11">
        <v>27</v>
      </c>
      <c r="C2" s="11">
        <v>1</v>
      </c>
      <c r="D2" s="11" t="s">
        <v>35</v>
      </c>
      <c r="E2" s="11" t="s">
        <v>35</v>
      </c>
      <c r="G2" s="11" t="s">
        <v>56</v>
      </c>
      <c r="H2" s="11">
        <v>78.599999999999994</v>
      </c>
      <c r="I2" s="11">
        <v>22.4</v>
      </c>
      <c r="J2" s="11" t="s">
        <v>52</v>
      </c>
      <c r="K2" s="11" t="s">
        <v>38</v>
      </c>
      <c r="L2" s="11" t="s">
        <v>43</v>
      </c>
      <c r="M2" s="11" t="s">
        <v>43</v>
      </c>
      <c r="N2" s="11" t="s">
        <v>44</v>
      </c>
      <c r="O2" s="11" t="s">
        <v>39</v>
      </c>
      <c r="P2" s="11">
        <v>0</v>
      </c>
      <c r="Q2" s="57">
        <v>34299</v>
      </c>
      <c r="R2" s="28">
        <v>43648</v>
      </c>
      <c r="S2" s="37">
        <f>R2</f>
        <v>43648</v>
      </c>
      <c r="T2" s="11">
        <v>78.400000000000006</v>
      </c>
      <c r="U2" s="11">
        <v>180</v>
      </c>
      <c r="V2" s="11">
        <f>Table1[[#This Row],[Weight]]/((Table1[[#This Row],[Height]]/100)^2)</f>
        <v>24.197530864197532</v>
      </c>
      <c r="W2"/>
      <c r="Y2" s="38">
        <v>4.5</v>
      </c>
      <c r="Z2" s="38">
        <f>Table1[[#This Row],[Total hours exercise per week]]*60</f>
        <v>270</v>
      </c>
      <c r="AA2" s="11" t="s">
        <v>60</v>
      </c>
      <c r="AB2" s="11">
        <v>4</v>
      </c>
      <c r="AE2" s="11" t="s">
        <v>61</v>
      </c>
      <c r="AG2"/>
      <c r="AH2"/>
      <c r="AI2" s="11">
        <v>7</v>
      </c>
    </row>
    <row r="3" spans="1:35" s="11" customFormat="1" x14ac:dyDescent="0.25">
      <c r="A3" s="26" t="s">
        <v>62</v>
      </c>
      <c r="B3" s="11">
        <v>21</v>
      </c>
      <c r="C3" s="11">
        <v>2</v>
      </c>
      <c r="D3" s="11" t="s">
        <v>35</v>
      </c>
      <c r="E3" s="11" t="s">
        <v>35</v>
      </c>
      <c r="G3" s="11" t="s">
        <v>56</v>
      </c>
      <c r="H3" s="11">
        <v>50.3</v>
      </c>
      <c r="I3" s="11">
        <v>15</v>
      </c>
      <c r="J3" s="11" t="s">
        <v>42</v>
      </c>
      <c r="K3" s="11" t="s">
        <v>44</v>
      </c>
      <c r="L3" s="11" t="s">
        <v>43</v>
      </c>
      <c r="M3" s="11" t="s">
        <v>43</v>
      </c>
      <c r="N3" s="11" t="s">
        <v>44</v>
      </c>
      <c r="P3" s="11">
        <v>0</v>
      </c>
      <c r="Q3" s="57">
        <v>35818</v>
      </c>
      <c r="R3" s="28">
        <v>43654</v>
      </c>
      <c r="S3" s="37">
        <f>R3</f>
        <v>43654</v>
      </c>
      <c r="T3" s="11">
        <v>50.5</v>
      </c>
      <c r="U3" s="11">
        <v>159.6</v>
      </c>
      <c r="V3" s="11">
        <f>Table1[[#This Row],[Weight]]/((Table1[[#This Row],[Height]]/100)^2)</f>
        <v>19.825566422321469</v>
      </c>
      <c r="W3"/>
      <c r="Y3" s="11">
        <v>7</v>
      </c>
      <c r="Z3" s="11">
        <f>Table1[[#This Row],[Total hours exercise per week]]*60</f>
        <v>420</v>
      </c>
      <c r="AA3" s="11" t="s">
        <v>63</v>
      </c>
      <c r="AB3" s="11">
        <v>4</v>
      </c>
      <c r="AE3" s="11" t="s">
        <v>46</v>
      </c>
      <c r="AG3"/>
      <c r="AH3" s="11">
        <v>5</v>
      </c>
      <c r="AI3" s="11">
        <v>5</v>
      </c>
    </row>
    <row r="4" spans="1:35" s="11" customFormat="1" x14ac:dyDescent="0.25">
      <c r="A4" s="26" t="s">
        <v>64</v>
      </c>
      <c r="B4" s="11">
        <v>19</v>
      </c>
      <c r="C4" s="11">
        <v>1</v>
      </c>
      <c r="D4" s="11" t="s">
        <v>35</v>
      </c>
      <c r="E4" s="11" t="s">
        <v>35</v>
      </c>
      <c r="F4" s="65"/>
      <c r="G4" s="11" t="s">
        <v>36</v>
      </c>
      <c r="H4" s="11">
        <v>45.6</v>
      </c>
      <c r="I4"/>
      <c r="J4" s="11" t="s">
        <v>37</v>
      </c>
      <c r="K4" s="11" t="s">
        <v>38</v>
      </c>
      <c r="N4" s="11" t="s">
        <v>44</v>
      </c>
      <c r="P4" s="11">
        <v>0</v>
      </c>
      <c r="Q4" s="57">
        <v>36756</v>
      </c>
      <c r="R4" s="28">
        <v>43657</v>
      </c>
      <c r="S4" s="37">
        <f>R4</f>
        <v>43657</v>
      </c>
      <c r="T4" s="11">
        <v>82.9</v>
      </c>
      <c r="U4" s="11">
        <v>179.5</v>
      </c>
      <c r="V4" s="11">
        <f>Table1[[#This Row],[Weight]]/((Table1[[#This Row],[Height]]/100)^2)</f>
        <v>25.729161008992794</v>
      </c>
      <c r="W4"/>
      <c r="Z4" s="11">
        <f>Table1[[#This Row],[Total hours exercise per week]]*60</f>
        <v>0</v>
      </c>
      <c r="AG4"/>
      <c r="AH4"/>
    </row>
    <row r="5" spans="1:35" s="11" customFormat="1" x14ac:dyDescent="0.25">
      <c r="A5" s="26" t="s">
        <v>65</v>
      </c>
      <c r="B5" s="11">
        <v>23</v>
      </c>
      <c r="C5" s="11">
        <v>1</v>
      </c>
      <c r="D5" s="11" t="s">
        <v>41</v>
      </c>
      <c r="E5" s="11" t="s">
        <v>35</v>
      </c>
      <c r="G5" s="11" t="s">
        <v>56</v>
      </c>
      <c r="H5" s="11">
        <v>61.1</v>
      </c>
      <c r="I5" s="11">
        <v>15.3</v>
      </c>
      <c r="J5" s="11" t="s">
        <v>52</v>
      </c>
      <c r="K5" s="11" t="s">
        <v>38</v>
      </c>
      <c r="L5" s="11" t="s">
        <v>43</v>
      </c>
      <c r="M5" s="11" t="s">
        <v>43</v>
      </c>
      <c r="N5" s="11" t="s">
        <v>44</v>
      </c>
      <c r="P5" s="11">
        <v>0</v>
      </c>
      <c r="Q5" s="57">
        <v>34702</v>
      </c>
      <c r="R5" s="28">
        <v>43903</v>
      </c>
      <c r="S5" s="37">
        <f>R5</f>
        <v>43903</v>
      </c>
      <c r="T5" s="11">
        <v>83.6</v>
      </c>
      <c r="U5" s="11">
        <v>191.5</v>
      </c>
      <c r="V5" s="11">
        <f>Table1[[#This Row],[Weight]]/((Table1[[#This Row],[Height]]/100)^2)</f>
        <v>22.796528710400914</v>
      </c>
      <c r="W5"/>
      <c r="Y5" s="43">
        <f>1.5+1.5</f>
        <v>3</v>
      </c>
      <c r="Z5" s="43">
        <f>Table1[[#This Row],[Total hours exercise per week]]*60</f>
        <v>180</v>
      </c>
      <c r="AA5" s="11" t="s">
        <v>66</v>
      </c>
      <c r="AB5" s="11">
        <v>4</v>
      </c>
      <c r="AG5"/>
      <c r="AH5"/>
      <c r="AI5">
        <v>6</v>
      </c>
    </row>
    <row r="6" spans="1:35" s="11" customFormat="1" x14ac:dyDescent="0.25">
      <c r="A6" s="26" t="s">
        <v>67</v>
      </c>
      <c r="B6" s="11">
        <v>23</v>
      </c>
      <c r="C6" s="11">
        <v>1</v>
      </c>
      <c r="D6" s="11" t="s">
        <v>41</v>
      </c>
      <c r="E6" s="11" t="s">
        <v>41</v>
      </c>
      <c r="G6" s="11" t="s">
        <v>56</v>
      </c>
      <c r="H6" s="11">
        <v>72.2</v>
      </c>
      <c r="I6" s="11">
        <v>15.6</v>
      </c>
      <c r="J6" s="11" t="s">
        <v>52</v>
      </c>
      <c r="K6" s="11" t="s">
        <v>38</v>
      </c>
      <c r="L6" s="11" t="s">
        <v>43</v>
      </c>
      <c r="M6" s="11" t="s">
        <v>43</v>
      </c>
      <c r="N6" s="11" t="s">
        <v>44</v>
      </c>
      <c r="P6" s="11">
        <v>0</v>
      </c>
      <c r="Q6" s="56">
        <v>35082</v>
      </c>
      <c r="R6" s="28">
        <v>43662</v>
      </c>
      <c r="S6" s="37">
        <f>R6</f>
        <v>43662</v>
      </c>
      <c r="T6" s="11">
        <v>84</v>
      </c>
      <c r="U6" s="11">
        <v>180.5</v>
      </c>
      <c r="V6" s="11">
        <f>Table1[[#This Row],[Weight]]/((Table1[[#This Row],[Height]]/100)^2)</f>
        <v>25.782490926251334</v>
      </c>
      <c r="W6"/>
      <c r="Y6" s="38">
        <f>(4*90+90)/60</f>
        <v>7.5</v>
      </c>
      <c r="Z6" s="38">
        <f>Table1[[#This Row],[Total hours exercise per week]]*60</f>
        <v>450</v>
      </c>
      <c r="AA6" s="11" t="s">
        <v>68</v>
      </c>
      <c r="AB6" s="11">
        <v>4</v>
      </c>
      <c r="AE6" s="11" t="s">
        <v>48</v>
      </c>
      <c r="AG6"/>
      <c r="AH6"/>
      <c r="AI6" s="11">
        <v>7</v>
      </c>
    </row>
    <row r="7" spans="1:35" s="11" customFormat="1" x14ac:dyDescent="0.25">
      <c r="A7" s="26" t="s">
        <v>69</v>
      </c>
      <c r="B7" s="11">
        <v>32</v>
      </c>
      <c r="C7" s="11">
        <v>1</v>
      </c>
      <c r="D7" s="11" t="s">
        <v>35</v>
      </c>
      <c r="E7" s="11" t="s">
        <v>35</v>
      </c>
      <c r="G7" s="11" t="s">
        <v>56</v>
      </c>
      <c r="H7" s="11">
        <v>70</v>
      </c>
      <c r="I7" s="11">
        <v>32</v>
      </c>
      <c r="J7" s="11" t="s">
        <v>52</v>
      </c>
      <c r="K7" s="11" t="s">
        <v>38</v>
      </c>
      <c r="L7" s="29"/>
      <c r="M7" s="29"/>
      <c r="N7" s="11" t="s">
        <v>44</v>
      </c>
      <c r="P7" s="11">
        <v>0</v>
      </c>
      <c r="Q7" s="56">
        <v>32027</v>
      </c>
      <c r="R7" s="30">
        <v>43672</v>
      </c>
      <c r="S7" s="37">
        <f t="shared" ref="S7:S24" si="0">R7</f>
        <v>43672</v>
      </c>
      <c r="T7" s="11">
        <v>84.2</v>
      </c>
      <c r="U7" s="11">
        <v>175.2</v>
      </c>
      <c r="V7" s="11">
        <f>Table1[[#This Row],[Weight]]/((Table1[[#This Row],[Height]]/100)^2)</f>
        <v>27.431141969516904</v>
      </c>
      <c r="W7"/>
      <c r="Y7" s="38">
        <f>(3*90+3*30+60)/60</f>
        <v>7</v>
      </c>
      <c r="Z7" s="38">
        <f>Table1[[#This Row],[Total hours exercise per week]]*60</f>
        <v>420</v>
      </c>
      <c r="AA7" s="11" t="s">
        <v>60</v>
      </c>
      <c r="AB7" s="11">
        <v>4</v>
      </c>
      <c r="AE7" s="11" t="s">
        <v>70</v>
      </c>
      <c r="AG7"/>
      <c r="AH7"/>
      <c r="AI7" s="11">
        <v>7</v>
      </c>
    </row>
    <row r="8" spans="1:35" s="11" customFormat="1" x14ac:dyDescent="0.25">
      <c r="A8" s="26" t="s">
        <v>71</v>
      </c>
      <c r="B8" s="11">
        <v>28</v>
      </c>
      <c r="C8" s="11">
        <v>1</v>
      </c>
      <c r="D8" s="11" t="s">
        <v>35</v>
      </c>
      <c r="E8" s="11" t="s">
        <v>35</v>
      </c>
      <c r="G8" s="11" t="s">
        <v>36</v>
      </c>
      <c r="H8" s="11">
        <v>58.3</v>
      </c>
      <c r="I8"/>
      <c r="J8" s="11" t="s">
        <v>52</v>
      </c>
      <c r="K8" s="11" t="s">
        <v>44</v>
      </c>
      <c r="L8" s="11" t="s">
        <v>43</v>
      </c>
      <c r="M8" s="11" t="s">
        <v>43</v>
      </c>
      <c r="N8" s="11" t="s">
        <v>44</v>
      </c>
      <c r="P8" s="11">
        <v>0</v>
      </c>
      <c r="Q8" s="28">
        <v>33183</v>
      </c>
      <c r="R8" s="28">
        <v>43679</v>
      </c>
      <c r="S8" s="37">
        <f t="shared" si="0"/>
        <v>43679</v>
      </c>
      <c r="T8" s="11">
        <v>95.8</v>
      </c>
      <c r="U8" s="11">
        <v>180.5</v>
      </c>
      <c r="V8" s="11">
        <f>Table1[[#This Row],[Weight]]/((Table1[[#This Row],[Height]]/100)^2)</f>
        <v>29.404317032558069</v>
      </c>
      <c r="W8"/>
      <c r="Y8" s="11">
        <f>(5*60+1.5*60)/60</f>
        <v>6.5</v>
      </c>
      <c r="Z8" s="11">
        <f>Table1[[#This Row],[Total hours exercise per week]]*60</f>
        <v>390</v>
      </c>
      <c r="AA8" s="11" t="s">
        <v>72</v>
      </c>
      <c r="AB8" s="11">
        <v>4</v>
      </c>
      <c r="AE8" s="11" t="s">
        <v>46</v>
      </c>
      <c r="AG8"/>
      <c r="AH8"/>
      <c r="AI8" s="11">
        <v>6</v>
      </c>
    </row>
    <row r="9" spans="1:35" s="11" customFormat="1" x14ac:dyDescent="0.25">
      <c r="A9" s="26" t="s">
        <v>73</v>
      </c>
      <c r="B9" s="11">
        <v>25</v>
      </c>
      <c r="C9" s="11">
        <v>1</v>
      </c>
      <c r="D9" s="11" t="s">
        <v>35</v>
      </c>
      <c r="E9" s="11" t="s">
        <v>35</v>
      </c>
      <c r="G9" s="11" t="s">
        <v>56</v>
      </c>
      <c r="H9" s="11">
        <v>66.3</v>
      </c>
      <c r="I9" s="11">
        <v>23.7</v>
      </c>
      <c r="J9" s="11" t="s">
        <v>52</v>
      </c>
      <c r="K9" s="11" t="s">
        <v>44</v>
      </c>
      <c r="L9" s="11" t="s">
        <v>43</v>
      </c>
      <c r="M9" s="11" t="s">
        <v>43</v>
      </c>
      <c r="N9" s="11" t="s">
        <v>44</v>
      </c>
      <c r="P9" s="11">
        <v>0</v>
      </c>
      <c r="Q9" s="58">
        <v>34539</v>
      </c>
      <c r="R9" s="28">
        <v>43682</v>
      </c>
      <c r="S9" s="37">
        <f t="shared" si="0"/>
        <v>43682</v>
      </c>
      <c r="T9" s="11">
        <v>79.900000000000006</v>
      </c>
      <c r="U9" s="11">
        <v>186</v>
      </c>
      <c r="V9" s="11">
        <f>Table1[[#This Row],[Weight]]/((Table1[[#This Row],[Height]]/100)^2)</f>
        <v>23.095155509307432</v>
      </c>
      <c r="W9"/>
      <c r="Y9" s="11">
        <f>3</f>
        <v>3</v>
      </c>
      <c r="Z9" s="11">
        <f>Table1[[#This Row],[Total hours exercise per week]]*60</f>
        <v>180</v>
      </c>
      <c r="AA9" s="11" t="s">
        <v>74</v>
      </c>
      <c r="AB9" s="11">
        <v>3</v>
      </c>
      <c r="AE9" s="11" t="s">
        <v>61</v>
      </c>
      <c r="AG9"/>
      <c r="AH9"/>
      <c r="AI9" s="11">
        <v>5</v>
      </c>
    </row>
    <row r="10" spans="1:35" s="11" customFormat="1" x14ac:dyDescent="0.25">
      <c r="A10" s="26" t="s">
        <v>75</v>
      </c>
      <c r="B10" s="11">
        <v>25</v>
      </c>
      <c r="C10" s="11">
        <v>1</v>
      </c>
      <c r="D10" s="11" t="s">
        <v>35</v>
      </c>
      <c r="E10" s="11" t="s">
        <v>35</v>
      </c>
      <c r="G10" s="11" t="s">
        <v>56</v>
      </c>
      <c r="H10" s="11">
        <v>65.2</v>
      </c>
      <c r="I10" s="11">
        <v>14.8</v>
      </c>
      <c r="J10" s="11" t="s">
        <v>52</v>
      </c>
      <c r="K10" s="11" t="s">
        <v>44</v>
      </c>
      <c r="L10" s="11" t="s">
        <v>43</v>
      </c>
      <c r="M10" s="11" t="s">
        <v>43</v>
      </c>
      <c r="N10" s="11" t="s">
        <v>44</v>
      </c>
      <c r="P10" s="11">
        <v>0</v>
      </c>
      <c r="Q10" s="30" t="s">
        <v>76</v>
      </c>
      <c r="R10" s="28">
        <v>43684</v>
      </c>
      <c r="S10" s="37">
        <f t="shared" si="0"/>
        <v>43684</v>
      </c>
      <c r="T10" s="11">
        <v>84</v>
      </c>
      <c r="U10" s="11">
        <v>187.5</v>
      </c>
      <c r="V10" s="11">
        <f>Table1[[#This Row],[Weight]]/((Table1[[#This Row],[Height]]/100)^2)</f>
        <v>23.893333333333334</v>
      </c>
      <c r="W10"/>
      <c r="Y10" s="38">
        <f>(2.5*60+1.5*20+2.5*60)/60</f>
        <v>5.5</v>
      </c>
      <c r="Z10" s="38">
        <f>Table1[[#This Row],[Total hours exercise per week]]*60</f>
        <v>330</v>
      </c>
      <c r="AA10" s="11" t="s">
        <v>77</v>
      </c>
      <c r="AB10" s="11">
        <v>4</v>
      </c>
      <c r="AE10" s="11" t="s">
        <v>48</v>
      </c>
      <c r="AG10"/>
      <c r="AH10"/>
      <c r="AI10" s="11">
        <v>7</v>
      </c>
    </row>
    <row r="11" spans="1:35" s="11" customFormat="1" x14ac:dyDescent="0.25">
      <c r="A11" s="26" t="s">
        <v>78</v>
      </c>
      <c r="B11" s="11">
        <v>24</v>
      </c>
      <c r="C11" s="11">
        <v>1</v>
      </c>
      <c r="D11" s="11" t="s">
        <v>35</v>
      </c>
      <c r="E11" s="11" t="s">
        <v>35</v>
      </c>
      <c r="F11" s="67" t="s">
        <v>38</v>
      </c>
      <c r="G11" s="66" t="s">
        <v>56</v>
      </c>
      <c r="H11" s="66">
        <v>61</v>
      </c>
      <c r="I11" s="66">
        <v>16.2</v>
      </c>
      <c r="J11" s="67" t="s">
        <v>52</v>
      </c>
      <c r="K11" s="11" t="s">
        <v>44</v>
      </c>
      <c r="L11" s="11" t="s">
        <v>43</v>
      </c>
      <c r="M11" s="11" t="s">
        <v>43</v>
      </c>
      <c r="N11" s="11" t="s">
        <v>44</v>
      </c>
      <c r="P11" s="11">
        <v>0</v>
      </c>
      <c r="Q11" s="28">
        <v>34809</v>
      </c>
      <c r="R11" s="28">
        <v>43686</v>
      </c>
      <c r="S11" s="37">
        <f t="shared" si="0"/>
        <v>43686</v>
      </c>
      <c r="T11" s="11">
        <v>64.7</v>
      </c>
      <c r="U11" s="11">
        <v>175</v>
      </c>
      <c r="V11" s="11">
        <f>Table1[[#This Row],[Weight]]/((Table1[[#This Row],[Height]]/100)^2)</f>
        <v>21.126530612244899</v>
      </c>
      <c r="W11"/>
      <c r="Y11" s="38">
        <f>(3*60+3*60+1*40)/60</f>
        <v>6.666666666666667</v>
      </c>
      <c r="Z11" s="38">
        <f>Table1[[#This Row],[Total hours exercise per week]]*60</f>
        <v>400</v>
      </c>
      <c r="AA11" s="11" t="s">
        <v>79</v>
      </c>
      <c r="AB11" s="11">
        <v>4</v>
      </c>
      <c r="AE11" s="11" t="s">
        <v>48</v>
      </c>
      <c r="AF11" s="11" t="s">
        <v>80</v>
      </c>
      <c r="AG11"/>
      <c r="AH11"/>
      <c r="AI11" s="11">
        <v>7</v>
      </c>
    </row>
    <row r="12" spans="1:35" s="11" customFormat="1" x14ac:dyDescent="0.25">
      <c r="A12" s="31" t="s">
        <v>81</v>
      </c>
      <c r="B12" s="11">
        <v>25</v>
      </c>
      <c r="C12" s="11">
        <v>1</v>
      </c>
      <c r="D12" s="11" t="s">
        <v>41</v>
      </c>
      <c r="E12" s="11" t="s">
        <v>41</v>
      </c>
      <c r="G12" s="11" t="s">
        <v>36</v>
      </c>
      <c r="H12" s="11">
        <v>48.4</v>
      </c>
      <c r="I12"/>
      <c r="J12" s="11" t="s">
        <v>42</v>
      </c>
      <c r="K12" s="11" t="s">
        <v>44</v>
      </c>
      <c r="L12" s="11" t="s">
        <v>43</v>
      </c>
      <c r="M12" s="11" t="s">
        <v>43</v>
      </c>
      <c r="N12" s="11" t="s">
        <v>44</v>
      </c>
      <c r="P12" s="11">
        <v>0</v>
      </c>
      <c r="Q12" s="53" t="s">
        <v>82</v>
      </c>
      <c r="R12" s="28">
        <v>43687</v>
      </c>
      <c r="S12" s="37">
        <f t="shared" si="0"/>
        <v>43687</v>
      </c>
      <c r="T12" s="11">
        <v>85.2</v>
      </c>
      <c r="U12" s="11">
        <v>192.2</v>
      </c>
      <c r="V12" s="11">
        <f>Table1[[#This Row],[Weight]]/((Table1[[#This Row],[Height]]/100)^2)</f>
        <v>23.063904340020425</v>
      </c>
      <c r="W12"/>
      <c r="Y12" s="38">
        <f>(2.5*50+2.5*20)/60</f>
        <v>2.9166666666666665</v>
      </c>
      <c r="Z12" s="11">
        <f>Table1[[#This Row],[Total hours exercise per week]]*60</f>
        <v>175</v>
      </c>
      <c r="AA12" s="11" t="s">
        <v>83</v>
      </c>
      <c r="AB12" s="11">
        <v>4</v>
      </c>
      <c r="AE12" s="11" t="s">
        <v>54</v>
      </c>
      <c r="AF12" s="11" t="s">
        <v>84</v>
      </c>
      <c r="AG12"/>
      <c r="AH12"/>
      <c r="AI12" s="11">
        <v>5</v>
      </c>
    </row>
    <row r="13" spans="1:35" s="11" customFormat="1" x14ac:dyDescent="0.25">
      <c r="A13" s="31" t="s">
        <v>85</v>
      </c>
      <c r="B13" s="11">
        <v>33</v>
      </c>
      <c r="C13" s="11">
        <v>1</v>
      </c>
      <c r="D13" s="11" t="s">
        <v>35</v>
      </c>
      <c r="E13" s="11" t="s">
        <v>35</v>
      </c>
      <c r="G13" s="11" t="s">
        <v>56</v>
      </c>
      <c r="H13" s="11">
        <v>65</v>
      </c>
      <c r="I13" s="11">
        <v>30.5</v>
      </c>
      <c r="J13" s="11" t="s">
        <v>52</v>
      </c>
      <c r="K13" s="11" t="s">
        <v>44</v>
      </c>
      <c r="L13" s="11" t="s">
        <v>43</v>
      </c>
      <c r="M13" s="11" t="s">
        <v>43</v>
      </c>
      <c r="N13" s="11" t="s">
        <v>44</v>
      </c>
      <c r="P13" s="11">
        <v>0</v>
      </c>
      <c r="Q13" s="58">
        <v>31239</v>
      </c>
      <c r="R13" s="28">
        <v>43687</v>
      </c>
      <c r="S13" s="37">
        <f t="shared" si="0"/>
        <v>43687</v>
      </c>
      <c r="T13" s="11">
        <v>61.3</v>
      </c>
      <c r="U13" s="11">
        <v>166.8</v>
      </c>
      <c r="V13" s="11">
        <f>Table1[[#This Row],[Weight]]/((Table1[[#This Row],[Height]]/100)^2)</f>
        <v>22.032733525409881</v>
      </c>
      <c r="W13"/>
      <c r="Y13" s="38">
        <f>(3.5*60+60*3.5)/60</f>
        <v>7</v>
      </c>
      <c r="Z13" s="38">
        <f>Table1[[#This Row],[Total hours exercise per week]]*60</f>
        <v>420</v>
      </c>
      <c r="AA13" s="11" t="s">
        <v>86</v>
      </c>
      <c r="AB13" s="11">
        <v>4</v>
      </c>
      <c r="AG13"/>
      <c r="AH13"/>
      <c r="AI13" s="11">
        <v>7</v>
      </c>
    </row>
    <row r="14" spans="1:35" s="11" customFormat="1" x14ac:dyDescent="0.25">
      <c r="A14" s="31" t="s">
        <v>87</v>
      </c>
      <c r="B14" s="11">
        <v>20</v>
      </c>
      <c r="C14" s="11">
        <v>1</v>
      </c>
      <c r="D14" s="11" t="s">
        <v>41</v>
      </c>
      <c r="E14" s="11" t="s">
        <v>41</v>
      </c>
      <c r="G14" s="11" t="s">
        <v>56</v>
      </c>
      <c r="H14" s="11">
        <v>56.7</v>
      </c>
      <c r="I14" s="11">
        <v>24.7</v>
      </c>
      <c r="J14" s="11" t="s">
        <v>52</v>
      </c>
      <c r="K14" s="11" t="s">
        <v>44</v>
      </c>
      <c r="L14" s="11" t="s">
        <v>43</v>
      </c>
      <c r="M14" s="11" t="s">
        <v>43</v>
      </c>
      <c r="N14" s="11" t="s">
        <v>44</v>
      </c>
      <c r="P14" s="11">
        <v>0</v>
      </c>
      <c r="Q14" s="59" t="s">
        <v>88</v>
      </c>
      <c r="R14" s="28">
        <v>43690</v>
      </c>
      <c r="S14" s="37">
        <f t="shared" si="0"/>
        <v>43690</v>
      </c>
      <c r="T14" s="11">
        <v>89.4</v>
      </c>
      <c r="U14" s="11">
        <v>187.8</v>
      </c>
      <c r="V14" s="11">
        <f>Table1[[#This Row],[Weight]]/((Table1[[#This Row],[Height]]/100)^2)</f>
        <v>25.348154348144138</v>
      </c>
      <c r="W14"/>
      <c r="Y14" s="38">
        <f>(4*60+2.5*20)/60</f>
        <v>4.833333333333333</v>
      </c>
      <c r="Z14" s="11">
        <f>Table1[[#This Row],[Total hours exercise per week]]*60</f>
        <v>290</v>
      </c>
      <c r="AA14" s="11" t="s">
        <v>83</v>
      </c>
      <c r="AB14" s="11">
        <v>4</v>
      </c>
      <c r="AE14" s="11" t="s">
        <v>54</v>
      </c>
      <c r="AF14" s="11" t="s">
        <v>45</v>
      </c>
      <c r="AG14"/>
      <c r="AH14"/>
      <c r="AI14" s="11">
        <v>7</v>
      </c>
    </row>
    <row r="15" spans="1:35" s="11" customFormat="1" x14ac:dyDescent="0.25">
      <c r="A15" s="31" t="s">
        <v>89</v>
      </c>
      <c r="B15" s="11">
        <v>21</v>
      </c>
      <c r="C15" s="11">
        <v>1</v>
      </c>
      <c r="D15" s="11" t="s">
        <v>35</v>
      </c>
      <c r="E15" s="11" t="s">
        <v>35</v>
      </c>
      <c r="G15" s="11" t="s">
        <v>56</v>
      </c>
      <c r="H15" s="11">
        <v>44.4</v>
      </c>
      <c r="I15"/>
      <c r="J15" s="11" t="s">
        <v>37</v>
      </c>
      <c r="K15" s="11" t="s">
        <v>44</v>
      </c>
      <c r="L15" s="11" t="s">
        <v>43</v>
      </c>
      <c r="M15" s="11" t="s">
        <v>43</v>
      </c>
      <c r="N15" s="11" t="s">
        <v>44</v>
      </c>
      <c r="P15" s="11">
        <v>0</v>
      </c>
      <c r="Q15" s="59">
        <v>35696</v>
      </c>
      <c r="R15" s="28">
        <v>43692</v>
      </c>
      <c r="S15" s="37">
        <f t="shared" si="0"/>
        <v>43692</v>
      </c>
      <c r="T15" s="11">
        <v>119.7</v>
      </c>
      <c r="U15" s="11">
        <v>180.4</v>
      </c>
      <c r="V15" s="11">
        <f>Table1[[#This Row],[Weight]]/((Table1[[#This Row],[Height]]/100)^2)</f>
        <v>36.780792621471875</v>
      </c>
      <c r="W15"/>
      <c r="Y15" s="38">
        <f>(2*120+3*120+60+120)/60</f>
        <v>13</v>
      </c>
      <c r="Z15" s="11">
        <f>Table1[[#This Row],[Total hours exercise per week]]*60</f>
        <v>780</v>
      </c>
      <c r="AA15" s="11" t="s">
        <v>90</v>
      </c>
      <c r="AB15" s="11">
        <v>4</v>
      </c>
      <c r="AE15" s="11" t="s">
        <v>54</v>
      </c>
      <c r="AF15" s="11" t="s">
        <v>45</v>
      </c>
      <c r="AG15"/>
      <c r="AH15"/>
      <c r="AI15" s="11">
        <v>7</v>
      </c>
    </row>
    <row r="16" spans="1:35" s="11" customFormat="1" x14ac:dyDescent="0.25">
      <c r="A16" s="31" t="s">
        <v>91</v>
      </c>
      <c r="B16" s="11">
        <v>26</v>
      </c>
      <c r="C16" s="11">
        <v>1</v>
      </c>
      <c r="D16" s="11" t="s">
        <v>41</v>
      </c>
      <c r="E16" s="11" t="s">
        <v>35</v>
      </c>
      <c r="G16" s="11" t="s">
        <v>56</v>
      </c>
      <c r="H16" s="11">
        <v>78.2</v>
      </c>
      <c r="I16" s="11">
        <v>24.1</v>
      </c>
      <c r="J16" s="11" t="s">
        <v>52</v>
      </c>
      <c r="K16" s="11" t="s">
        <v>44</v>
      </c>
      <c r="L16"/>
      <c r="N16" s="11" t="s">
        <v>44</v>
      </c>
      <c r="P16" s="11">
        <v>0</v>
      </c>
      <c r="Q16" s="28">
        <v>34059</v>
      </c>
      <c r="R16" s="28">
        <v>43704</v>
      </c>
      <c r="S16" s="37">
        <f t="shared" si="0"/>
        <v>43704</v>
      </c>
      <c r="T16" s="11">
        <v>86.5</v>
      </c>
      <c r="U16" s="11">
        <v>187.8</v>
      </c>
      <c r="V16" s="11">
        <f>Table1[[#This Row],[Weight]]/((Table1[[#This Row],[Height]]/100)^2)</f>
        <v>24.525898782041029</v>
      </c>
      <c r="W16"/>
      <c r="Y16" s="38">
        <f>(5*90+7*80)/60</f>
        <v>16.833333333333332</v>
      </c>
      <c r="Z16" s="11">
        <f>Table1[[#This Row],[Total hours exercise per week]]*60</f>
        <v>1009.9999999999999</v>
      </c>
      <c r="AA16" s="11" t="s">
        <v>92</v>
      </c>
      <c r="AB16" s="11">
        <v>4</v>
      </c>
      <c r="AE16" s="11" t="s">
        <v>61</v>
      </c>
      <c r="AF16" s="11" t="s">
        <v>93</v>
      </c>
      <c r="AG16" s="11">
        <v>10</v>
      </c>
      <c r="AH16"/>
      <c r="AI16" s="11">
        <v>7</v>
      </c>
    </row>
    <row r="17" spans="1:35" s="11" customFormat="1" x14ac:dyDescent="0.25">
      <c r="A17" s="31" t="s">
        <v>94</v>
      </c>
      <c r="B17" s="11">
        <v>22</v>
      </c>
      <c r="C17" s="11">
        <v>1</v>
      </c>
      <c r="D17" s="11" t="s">
        <v>35</v>
      </c>
      <c r="E17" s="11" t="s">
        <v>35</v>
      </c>
      <c r="G17" s="11" t="s">
        <v>56</v>
      </c>
      <c r="H17" s="11">
        <v>55.6</v>
      </c>
      <c r="I17" s="11">
        <v>18.100000000000001</v>
      </c>
      <c r="J17" s="11" t="s">
        <v>52</v>
      </c>
      <c r="K17" s="11" t="s">
        <v>38</v>
      </c>
      <c r="L17" s="29" t="s">
        <v>43</v>
      </c>
      <c r="M17" s="29" t="s">
        <v>43</v>
      </c>
      <c r="N17" s="11" t="s">
        <v>44</v>
      </c>
      <c r="P17" s="11">
        <v>0</v>
      </c>
      <c r="Q17" s="60">
        <v>35068</v>
      </c>
      <c r="R17" s="28">
        <v>43712</v>
      </c>
      <c r="S17" s="37">
        <f t="shared" si="0"/>
        <v>43712</v>
      </c>
      <c r="T17" s="11">
        <v>71.599999999999994</v>
      </c>
      <c r="U17" s="11">
        <v>174</v>
      </c>
      <c r="V17" s="11">
        <f>Table1[[#This Row],[Weight]]/((Table1[[#This Row],[Height]]/100)^2)</f>
        <v>23.649094992733517</v>
      </c>
      <c r="W17"/>
      <c r="Y17" s="38">
        <f>(5*60+60+80)/60</f>
        <v>7.333333333333333</v>
      </c>
      <c r="Z17" s="38">
        <f>Table1[[#This Row],[Total hours exercise per week]]*60</f>
        <v>440</v>
      </c>
      <c r="AA17" s="11" t="s">
        <v>95</v>
      </c>
      <c r="AB17" s="11">
        <v>1</v>
      </c>
      <c r="AG17"/>
      <c r="AH17"/>
      <c r="AI17" s="11">
        <v>7</v>
      </c>
    </row>
    <row r="18" spans="1:35" s="11" customFormat="1" x14ac:dyDescent="0.25">
      <c r="A18" s="31" t="s">
        <v>96</v>
      </c>
      <c r="B18" s="11">
        <v>25</v>
      </c>
      <c r="C18" s="11">
        <v>2</v>
      </c>
      <c r="D18" s="11" t="s">
        <v>41</v>
      </c>
      <c r="E18" s="11" t="s">
        <v>35</v>
      </c>
      <c r="G18" s="11" t="s">
        <v>56</v>
      </c>
      <c r="H18" s="11">
        <v>66.2</v>
      </c>
      <c r="I18" s="11">
        <v>18.7</v>
      </c>
      <c r="J18" s="11" t="s">
        <v>52</v>
      </c>
      <c r="K18" s="11" t="s">
        <v>38</v>
      </c>
      <c r="L18" s="11" t="s">
        <v>43</v>
      </c>
      <c r="M18" s="11" t="s">
        <v>43</v>
      </c>
      <c r="N18" s="11" t="s">
        <v>44</v>
      </c>
      <c r="P18" s="11">
        <v>0</v>
      </c>
      <c r="Q18" s="28">
        <v>34293</v>
      </c>
      <c r="R18" s="28">
        <v>43721</v>
      </c>
      <c r="S18" s="37">
        <f t="shared" si="0"/>
        <v>43721</v>
      </c>
      <c r="T18" s="11">
        <v>61.2</v>
      </c>
      <c r="U18" s="11">
        <v>174</v>
      </c>
      <c r="V18" s="11">
        <f>Table1[[#This Row],[Weight]]/((Table1[[#This Row],[Height]]/100)^2)</f>
        <v>20.214030915576696</v>
      </c>
      <c r="W18"/>
      <c r="Y18" s="38">
        <f>(60+60)/60</f>
        <v>2</v>
      </c>
      <c r="Z18" s="38">
        <f>Table1[[#This Row],[Total hours exercise per week]]*60</f>
        <v>120</v>
      </c>
      <c r="AA18" s="11" t="s">
        <v>97</v>
      </c>
      <c r="AB18" s="11">
        <v>4</v>
      </c>
      <c r="AG18"/>
      <c r="AH18"/>
      <c r="AI18" s="11">
        <v>5</v>
      </c>
    </row>
    <row r="19" spans="1:35" s="11" customFormat="1" x14ac:dyDescent="0.25">
      <c r="A19" s="31" t="s">
        <v>98</v>
      </c>
      <c r="B19" s="11">
        <v>33</v>
      </c>
      <c r="C19" s="11">
        <v>2</v>
      </c>
      <c r="D19" s="11" t="s">
        <v>41</v>
      </c>
      <c r="E19" s="11" t="s">
        <v>35</v>
      </c>
      <c r="G19" s="11" t="s">
        <v>36</v>
      </c>
      <c r="H19" s="11">
        <v>39.06</v>
      </c>
      <c r="I19"/>
      <c r="J19" s="11" t="s">
        <v>42</v>
      </c>
      <c r="K19" s="11" t="s">
        <v>38</v>
      </c>
      <c r="N19" s="11" t="s">
        <v>44</v>
      </c>
      <c r="P19" s="11">
        <v>0</v>
      </c>
      <c r="Q19" s="28">
        <v>31632</v>
      </c>
      <c r="R19" s="28">
        <v>43711</v>
      </c>
      <c r="S19" s="37">
        <f t="shared" si="0"/>
        <v>43711</v>
      </c>
      <c r="T19" s="11">
        <v>70.099999999999994</v>
      </c>
      <c r="U19" s="11">
        <v>174.5</v>
      </c>
      <c r="V19" s="11">
        <f>Table1[[#This Row],[Weight]]/((Table1[[#This Row],[Height]]/100)^2)</f>
        <v>23.021157461761394</v>
      </c>
      <c r="W19"/>
      <c r="Y19" s="38">
        <f>(2*60+3*120+2*90)/60</f>
        <v>11</v>
      </c>
      <c r="Z19" s="11">
        <f>Table1[[#This Row],[Total hours exercise per week]]*60</f>
        <v>660</v>
      </c>
      <c r="AA19" s="11" t="s">
        <v>99</v>
      </c>
      <c r="AB19" s="11">
        <v>4</v>
      </c>
      <c r="AE19" s="11" t="s">
        <v>50</v>
      </c>
      <c r="AG19" s="11">
        <v>0</v>
      </c>
      <c r="AH19"/>
      <c r="AI19" s="11">
        <v>7</v>
      </c>
    </row>
    <row r="20" spans="1:35" s="11" customFormat="1" x14ac:dyDescent="0.25">
      <c r="A20" s="31" t="s">
        <v>100</v>
      </c>
      <c r="B20" s="11">
        <v>30</v>
      </c>
      <c r="C20" s="11">
        <v>1</v>
      </c>
      <c r="D20" s="11" t="s">
        <v>41</v>
      </c>
      <c r="E20" s="11" t="s">
        <v>35</v>
      </c>
      <c r="G20" s="11" t="s">
        <v>56</v>
      </c>
      <c r="H20" s="11">
        <v>38.950000000000003</v>
      </c>
      <c r="I20"/>
      <c r="J20" s="11" t="s">
        <v>42</v>
      </c>
      <c r="K20" s="11" t="s">
        <v>38</v>
      </c>
      <c r="N20" s="11" t="s">
        <v>44</v>
      </c>
      <c r="P20" s="11">
        <v>0</v>
      </c>
      <c r="Q20" s="59">
        <v>33105</v>
      </c>
      <c r="R20" s="28">
        <v>43714</v>
      </c>
      <c r="S20" s="37">
        <f t="shared" si="0"/>
        <v>43714</v>
      </c>
      <c r="T20" s="11">
        <v>63.1</v>
      </c>
      <c r="U20" s="11">
        <v>170.8</v>
      </c>
      <c r="V20" s="11">
        <f>Table1[[#This Row],[Weight]]/((Table1[[#This Row],[Height]]/100)^2)</f>
        <v>21.629855919793336</v>
      </c>
      <c r="W20"/>
      <c r="Y20" s="11">
        <f>(5*60+3*90)/60</f>
        <v>9.5</v>
      </c>
      <c r="Z20" s="11">
        <f>Table1[[#This Row],[Total hours exercise per week]]*60</f>
        <v>570</v>
      </c>
      <c r="AA20" s="11" t="s">
        <v>66</v>
      </c>
      <c r="AB20" s="11">
        <v>4</v>
      </c>
      <c r="AE20" s="11" t="s">
        <v>54</v>
      </c>
      <c r="AF20" s="11" t="s">
        <v>101</v>
      </c>
      <c r="AG20" s="11">
        <v>10</v>
      </c>
      <c r="AH20"/>
      <c r="AI20" s="11">
        <v>7</v>
      </c>
    </row>
    <row r="21" spans="1:35" s="11" customFormat="1" x14ac:dyDescent="0.25">
      <c r="A21" s="31" t="s">
        <v>102</v>
      </c>
      <c r="B21" s="37">
        <f t="shared" ref="B21:B42" si="1">ROUNDDOWN((R21-Q21)/365.25,0)</f>
        <v>32</v>
      </c>
      <c r="C21" s="11">
        <v>2</v>
      </c>
      <c r="D21" s="11" t="s">
        <v>41</v>
      </c>
      <c r="E21" s="11" t="s">
        <v>35</v>
      </c>
      <c r="G21" s="11" t="s">
        <v>56</v>
      </c>
      <c r="H21" s="11">
        <v>50.8</v>
      </c>
      <c r="I21" s="11">
        <v>26.3</v>
      </c>
      <c r="J21" s="11" t="s">
        <v>42</v>
      </c>
      <c r="K21" s="11" t="s">
        <v>44</v>
      </c>
      <c r="L21" s="11" t="s">
        <v>43</v>
      </c>
      <c r="M21" s="11" t="s">
        <v>43</v>
      </c>
      <c r="N21" s="11" t="s">
        <v>44</v>
      </c>
      <c r="P21" s="11">
        <v>0</v>
      </c>
      <c r="Q21" s="59">
        <v>31934</v>
      </c>
      <c r="R21" s="28">
        <v>43719</v>
      </c>
      <c r="S21" s="37">
        <f t="shared" si="0"/>
        <v>43719</v>
      </c>
      <c r="T21" s="11">
        <v>61.7</v>
      </c>
      <c r="U21" s="11">
        <v>161</v>
      </c>
      <c r="V21" s="11">
        <f>Table1[[#This Row],[Weight]]/((Table1[[#This Row],[Height]]/100)^2)</f>
        <v>23.803094016434549</v>
      </c>
      <c r="W21"/>
      <c r="Y21" s="38">
        <f>(3*60)/60</f>
        <v>3</v>
      </c>
      <c r="Z21" s="38">
        <f>Table1[[#This Row],[Total hours exercise per week]]*60</f>
        <v>180</v>
      </c>
      <c r="AA21" s="11" t="s">
        <v>103</v>
      </c>
      <c r="AB21" s="11">
        <v>2</v>
      </c>
      <c r="AG21"/>
      <c r="AH21"/>
      <c r="AI21" s="11">
        <v>5</v>
      </c>
    </row>
    <row r="22" spans="1:35" s="11" customFormat="1" x14ac:dyDescent="0.25">
      <c r="A22" s="31" t="s">
        <v>104</v>
      </c>
      <c r="B22" s="37">
        <f t="shared" si="1"/>
        <v>24</v>
      </c>
      <c r="C22" s="11">
        <v>2</v>
      </c>
      <c r="D22" s="11" t="s">
        <v>35</v>
      </c>
      <c r="E22" s="11" t="s">
        <v>35</v>
      </c>
      <c r="G22" s="11" t="s">
        <v>56</v>
      </c>
      <c r="H22" s="11">
        <v>53</v>
      </c>
      <c r="I22" s="11">
        <v>11.4</v>
      </c>
      <c r="J22" s="11" t="s">
        <v>42</v>
      </c>
      <c r="K22" s="11" t="s">
        <v>38</v>
      </c>
      <c r="L22" s="11" t="s">
        <v>43</v>
      </c>
      <c r="M22" s="11" t="s">
        <v>43</v>
      </c>
      <c r="N22" s="11" t="s">
        <v>44</v>
      </c>
      <c r="P22" s="11">
        <v>0</v>
      </c>
      <c r="Q22" s="59">
        <v>34827</v>
      </c>
      <c r="R22" s="28">
        <v>43725</v>
      </c>
      <c r="S22" s="37">
        <f t="shared" si="0"/>
        <v>43725</v>
      </c>
      <c r="T22" s="11">
        <v>70.2</v>
      </c>
      <c r="U22" s="11">
        <v>178.7</v>
      </c>
      <c r="V22" s="11">
        <f>Table1[[#This Row],[Weight]]/((Table1[[#This Row],[Height]]/100)^2)</f>
        <v>21.983053007654302</v>
      </c>
      <c r="W22"/>
      <c r="Y22" s="38">
        <f>(4*60+5*45+60)/60</f>
        <v>8.75</v>
      </c>
      <c r="Z22" s="38">
        <f>Table1[[#This Row],[Total hours exercise per week]]*60</f>
        <v>525</v>
      </c>
      <c r="AA22" s="11" t="s">
        <v>105</v>
      </c>
      <c r="AB22" s="11">
        <v>4</v>
      </c>
      <c r="AF22" s="11" t="s">
        <v>106</v>
      </c>
      <c r="AG22" s="11">
        <v>11</v>
      </c>
      <c r="AH22"/>
      <c r="AI22" s="11">
        <v>7</v>
      </c>
    </row>
    <row r="23" spans="1:35" s="11" customFormat="1" x14ac:dyDescent="0.25">
      <c r="A23" s="31" t="s">
        <v>107</v>
      </c>
      <c r="B23" s="37">
        <f t="shared" si="1"/>
        <v>21</v>
      </c>
      <c r="C23" s="11">
        <v>2</v>
      </c>
      <c r="D23" s="11" t="s">
        <v>41</v>
      </c>
      <c r="E23" s="11" t="s">
        <v>35</v>
      </c>
      <c r="G23" s="11" t="s">
        <v>56</v>
      </c>
      <c r="H23" s="11">
        <v>48.7</v>
      </c>
      <c r="I23" s="11">
        <v>20.399999999999999</v>
      </c>
      <c r="J23" s="11" t="s">
        <v>42</v>
      </c>
      <c r="K23" s="11" t="s">
        <v>44</v>
      </c>
      <c r="L23" s="11" t="s">
        <v>43</v>
      </c>
      <c r="M23" s="11" t="s">
        <v>43</v>
      </c>
      <c r="N23" s="11" t="s">
        <v>44</v>
      </c>
      <c r="P23" s="11">
        <v>0</v>
      </c>
      <c r="Q23" s="59">
        <v>36019</v>
      </c>
      <c r="R23" s="28">
        <v>43727</v>
      </c>
      <c r="S23" s="37">
        <f t="shared" si="0"/>
        <v>43727</v>
      </c>
      <c r="T23" s="11">
        <v>80.5</v>
      </c>
      <c r="U23" s="11">
        <v>176</v>
      </c>
      <c r="V23" s="11">
        <f>Table1[[#This Row],[Weight]]/((Table1[[#This Row],[Height]]/100)^2)</f>
        <v>25.987861570247933</v>
      </c>
      <c r="W23"/>
      <c r="Y23" s="38">
        <f>(6*120)/60</f>
        <v>12</v>
      </c>
      <c r="Z23" s="38">
        <f>Table1[[#This Row],[Total hours exercise per week]]*60</f>
        <v>720</v>
      </c>
      <c r="AA23" s="11" t="s">
        <v>57</v>
      </c>
      <c r="AB23" s="11">
        <v>3</v>
      </c>
      <c r="AF23" s="11" t="s">
        <v>108</v>
      </c>
      <c r="AG23" s="11">
        <v>14</v>
      </c>
      <c r="AH23"/>
      <c r="AI23" s="11">
        <v>7</v>
      </c>
    </row>
    <row r="24" spans="1:35" s="11" customFormat="1" x14ac:dyDescent="0.25">
      <c r="A24" s="31" t="s">
        <v>109</v>
      </c>
      <c r="B24" s="37">
        <f t="shared" si="1"/>
        <v>18</v>
      </c>
      <c r="C24" s="11">
        <v>1</v>
      </c>
      <c r="D24" s="11" t="s">
        <v>35</v>
      </c>
      <c r="E24" s="11" t="s">
        <v>35</v>
      </c>
      <c r="G24" s="11" t="s">
        <v>36</v>
      </c>
      <c r="H24" s="11">
        <v>43.8</v>
      </c>
      <c r="I24"/>
      <c r="J24" s="11" t="s">
        <v>42</v>
      </c>
      <c r="K24" s="11" t="s">
        <v>44</v>
      </c>
      <c r="N24" s="11" t="s">
        <v>44</v>
      </c>
      <c r="P24" s="11">
        <v>6</v>
      </c>
      <c r="Q24" s="59">
        <v>36914</v>
      </c>
      <c r="R24" s="28">
        <v>43732</v>
      </c>
      <c r="S24" s="37">
        <f t="shared" si="0"/>
        <v>43732</v>
      </c>
      <c r="T24" s="11">
        <v>76.5</v>
      </c>
      <c r="U24" s="11">
        <v>187</v>
      </c>
      <c r="V24" s="11">
        <f>Table1[[#This Row],[Weight]]/((Table1[[#This Row],[Height]]/100)^2)</f>
        <v>21.876519202722406</v>
      </c>
      <c r="W24"/>
      <c r="Y24" s="11">
        <f>4+2+2</f>
        <v>8</v>
      </c>
      <c r="Z24" s="11">
        <f>Table1[[#This Row],[Total hours exercise per week]]*60</f>
        <v>480</v>
      </c>
      <c r="AA24" s="11" t="s">
        <v>110</v>
      </c>
      <c r="AB24" s="11">
        <v>4</v>
      </c>
      <c r="AE24" s="11" t="s">
        <v>61</v>
      </c>
      <c r="AF24" s="11" t="s">
        <v>111</v>
      </c>
      <c r="AG24" s="11">
        <v>1</v>
      </c>
      <c r="AH24"/>
      <c r="AI24" s="11">
        <v>7</v>
      </c>
    </row>
    <row r="25" spans="1:35" s="11" customFormat="1" x14ac:dyDescent="0.25">
      <c r="A25" s="31" t="s">
        <v>112</v>
      </c>
      <c r="B25" s="37">
        <f t="shared" si="1"/>
        <v>26</v>
      </c>
      <c r="C25" s="11">
        <v>2</v>
      </c>
      <c r="D25" s="11" t="s">
        <v>35</v>
      </c>
      <c r="E25" s="11" t="s">
        <v>35</v>
      </c>
      <c r="G25" s="11" t="s">
        <v>36</v>
      </c>
      <c r="H25" s="11">
        <v>40.75</v>
      </c>
      <c r="I25" s="11">
        <v>17.600000000000001</v>
      </c>
      <c r="J25" s="11" t="s">
        <v>42</v>
      </c>
      <c r="K25" s="11" t="s">
        <v>38</v>
      </c>
      <c r="L25" s="29"/>
      <c r="M25" s="29"/>
      <c r="N25" s="11" t="s">
        <v>44</v>
      </c>
      <c r="P25" s="11">
        <v>0</v>
      </c>
      <c r="Q25" s="60">
        <v>34142</v>
      </c>
      <c r="R25" s="28">
        <v>43734</v>
      </c>
      <c r="S25" s="37">
        <v>43734</v>
      </c>
      <c r="T25" s="11">
        <v>54.7</v>
      </c>
      <c r="U25" s="11">
        <v>170.7</v>
      </c>
      <c r="V25" s="11">
        <f>Table1[[#This Row],[Weight]]/((Table1[[#This Row],[Height]]/100)^2)</f>
        <v>18.772420945628966</v>
      </c>
      <c r="W25"/>
      <c r="Y25" s="11">
        <f>(3*60+2*30+3*60+120)/60</f>
        <v>9</v>
      </c>
      <c r="Z25" s="11">
        <f>Table1[[#This Row],[Total hours exercise per week]]*60</f>
        <v>540</v>
      </c>
      <c r="AA25" s="11" t="s">
        <v>113</v>
      </c>
      <c r="AB25" s="11">
        <v>4</v>
      </c>
      <c r="AC25" s="11">
        <v>5</v>
      </c>
      <c r="AD25" s="11" t="s">
        <v>114</v>
      </c>
      <c r="AE25" s="11" t="s">
        <v>46</v>
      </c>
      <c r="AF25" s="11" t="s">
        <v>115</v>
      </c>
      <c r="AG25" s="11">
        <v>3</v>
      </c>
      <c r="AH25"/>
      <c r="AI25" s="11">
        <v>7</v>
      </c>
    </row>
    <row r="26" spans="1:35" s="11" customFormat="1" x14ac:dyDescent="0.25">
      <c r="A26" s="31" t="s">
        <v>116</v>
      </c>
      <c r="B26" s="37">
        <f t="shared" si="1"/>
        <v>25</v>
      </c>
      <c r="C26" s="11">
        <v>1</v>
      </c>
      <c r="D26" s="11" t="s">
        <v>35</v>
      </c>
      <c r="E26" s="11" t="s">
        <v>35</v>
      </c>
      <c r="G26" s="11" t="s">
        <v>56</v>
      </c>
      <c r="H26" s="11">
        <v>51.7</v>
      </c>
      <c r="I26"/>
      <c r="J26" s="11" t="s">
        <v>42</v>
      </c>
      <c r="K26" s="11" t="s">
        <v>38</v>
      </c>
      <c r="L26" s="11" t="s">
        <v>43</v>
      </c>
      <c r="M26" s="11" t="s">
        <v>43</v>
      </c>
      <c r="N26" s="11" t="s">
        <v>44</v>
      </c>
      <c r="P26" s="11">
        <v>0</v>
      </c>
      <c r="Q26" s="59">
        <v>34300</v>
      </c>
      <c r="R26" s="28">
        <v>43735</v>
      </c>
      <c r="S26" s="37">
        <f t="shared" ref="S26:S42" si="2">R26</f>
        <v>43735</v>
      </c>
      <c r="T26" s="11">
        <v>76.099999999999994</v>
      </c>
      <c r="U26" s="11">
        <v>181.5</v>
      </c>
      <c r="V26" s="11">
        <f>Table1[[#This Row],[Weight]]/((Table1[[#This Row],[Height]]/100)^2)</f>
        <v>23.10103286812528</v>
      </c>
      <c r="W26"/>
      <c r="Y26" s="38">
        <f>(5*30+1*45+90)/60</f>
        <v>4.75</v>
      </c>
      <c r="Z26" s="38">
        <f>Table1[[#This Row],[Total hours exercise per week]]*60</f>
        <v>285</v>
      </c>
      <c r="AA26" s="11" t="s">
        <v>117</v>
      </c>
      <c r="AB26" s="11">
        <v>4</v>
      </c>
      <c r="AF26" s="11" t="s">
        <v>118</v>
      </c>
      <c r="AG26" s="11">
        <v>10</v>
      </c>
      <c r="AH26"/>
      <c r="AI26" s="11">
        <v>6</v>
      </c>
    </row>
    <row r="27" spans="1:35" s="11" customFormat="1" x14ac:dyDescent="0.25">
      <c r="A27" s="31" t="s">
        <v>119</v>
      </c>
      <c r="B27" s="37">
        <f t="shared" si="1"/>
        <v>32</v>
      </c>
      <c r="C27" s="11">
        <v>2</v>
      </c>
      <c r="D27" s="11" t="s">
        <v>35</v>
      </c>
      <c r="E27" s="11" t="s">
        <v>35</v>
      </c>
      <c r="G27" s="11" t="s">
        <v>36</v>
      </c>
      <c r="H27" s="11">
        <v>41.2</v>
      </c>
      <c r="I27"/>
      <c r="J27" s="11" t="s">
        <v>120</v>
      </c>
      <c r="K27" s="11" t="s">
        <v>44</v>
      </c>
      <c r="L27" s="11" t="s">
        <v>121</v>
      </c>
      <c r="M27" s="11" t="s">
        <v>121</v>
      </c>
      <c r="N27" s="11" t="s">
        <v>38</v>
      </c>
      <c r="P27" s="11">
        <v>6</v>
      </c>
      <c r="Q27" s="28">
        <v>31759</v>
      </c>
      <c r="R27" s="28">
        <v>43738</v>
      </c>
      <c r="S27" s="37">
        <f t="shared" si="2"/>
        <v>43738</v>
      </c>
      <c r="T27" s="11">
        <v>62.1</v>
      </c>
      <c r="U27" s="11">
        <v>158</v>
      </c>
      <c r="V27" s="11">
        <f>Table1[[#This Row],[Weight]]/((Table1[[#This Row],[Height]]/100)^2)</f>
        <v>24.875821182502801</v>
      </c>
      <c r="W27"/>
      <c r="Z27" s="11">
        <f>Table1[[#This Row],[Total hours exercise per week]]*60</f>
        <v>0</v>
      </c>
      <c r="AG27"/>
      <c r="AH27"/>
    </row>
    <row r="28" spans="1:35" s="11" customFormat="1" x14ac:dyDescent="0.25">
      <c r="A28" s="73" t="s">
        <v>122</v>
      </c>
      <c r="B28" s="74">
        <f t="shared" si="1"/>
        <v>21</v>
      </c>
      <c r="C28" s="70">
        <v>2</v>
      </c>
      <c r="D28" s="70" t="s">
        <v>41</v>
      </c>
      <c r="E28" s="70" t="s">
        <v>35</v>
      </c>
      <c r="F28" s="70" t="s">
        <v>38</v>
      </c>
      <c r="G28" s="70" t="s">
        <v>56</v>
      </c>
      <c r="H28" s="70">
        <v>45.5</v>
      </c>
      <c r="I28" s="70">
        <v>27.8</v>
      </c>
      <c r="J28" s="70" t="s">
        <v>42</v>
      </c>
      <c r="K28" s="11" t="s">
        <v>44</v>
      </c>
      <c r="L28" s="11" t="s">
        <v>43</v>
      </c>
      <c r="M28" s="11" t="s">
        <v>43</v>
      </c>
      <c r="N28" s="11" t="s">
        <v>44</v>
      </c>
      <c r="P28" s="11">
        <v>0</v>
      </c>
      <c r="Q28" s="59">
        <v>35817</v>
      </c>
      <c r="R28" s="28">
        <v>43742</v>
      </c>
      <c r="S28" s="37">
        <f t="shared" si="2"/>
        <v>43742</v>
      </c>
      <c r="T28" s="11">
        <v>78.599999999999994</v>
      </c>
      <c r="U28" s="11">
        <v>161</v>
      </c>
      <c r="V28" s="11">
        <f>Table1[[#This Row],[Weight]]/((Table1[[#This Row],[Height]]/100)^2)</f>
        <v>30.32290420894255</v>
      </c>
      <c r="W28"/>
      <c r="Y28" s="38">
        <f>(5*90+5*10)/60</f>
        <v>8.3333333333333339</v>
      </c>
      <c r="Z28" s="38">
        <f>Table1[[#This Row],[Total hours exercise per week]]*60</f>
        <v>500.00000000000006</v>
      </c>
      <c r="AA28" s="11" t="s">
        <v>123</v>
      </c>
      <c r="AB28" s="11">
        <v>4</v>
      </c>
      <c r="AF28" s="11" t="s">
        <v>124</v>
      </c>
      <c r="AG28" s="11">
        <v>13</v>
      </c>
      <c r="AH28"/>
      <c r="AI28" s="11">
        <v>7</v>
      </c>
    </row>
    <row r="29" spans="1:35" s="11" customFormat="1" x14ac:dyDescent="0.25">
      <c r="A29" s="31" t="s">
        <v>125</v>
      </c>
      <c r="B29" s="37">
        <f t="shared" si="1"/>
        <v>19</v>
      </c>
      <c r="C29" s="55">
        <v>2</v>
      </c>
      <c r="D29" s="11" t="s">
        <v>35</v>
      </c>
      <c r="E29" s="11" t="s">
        <v>41</v>
      </c>
      <c r="G29" s="11" t="s">
        <v>56</v>
      </c>
      <c r="H29" s="11">
        <v>38.1</v>
      </c>
      <c r="I29" s="11">
        <v>30</v>
      </c>
      <c r="J29" s="11" t="s">
        <v>42</v>
      </c>
      <c r="K29" s="11" t="s">
        <v>38</v>
      </c>
      <c r="L29" s="11" t="s">
        <v>43</v>
      </c>
      <c r="M29" s="11" t="s">
        <v>43</v>
      </c>
      <c r="N29" s="11" t="s">
        <v>44</v>
      </c>
      <c r="P29" s="11">
        <v>0</v>
      </c>
      <c r="Q29" s="28">
        <v>36687</v>
      </c>
      <c r="R29" s="28">
        <v>43746</v>
      </c>
      <c r="S29" s="37">
        <f t="shared" si="2"/>
        <v>43746</v>
      </c>
      <c r="T29" s="11">
        <v>55</v>
      </c>
      <c r="U29" s="11">
        <v>167.2</v>
      </c>
      <c r="V29" s="11">
        <f>Table1[[#This Row],[Weight]]/((Table1[[#This Row],[Height]]/100)^2)</f>
        <v>19.673885671115588</v>
      </c>
      <c r="W29"/>
      <c r="Y29" s="38">
        <f>(5*60)/60</f>
        <v>5</v>
      </c>
      <c r="Z29" s="38">
        <f>Table1[[#This Row],[Total hours exercise per week]]*60</f>
        <v>300</v>
      </c>
      <c r="AA29" s="11" t="s">
        <v>103</v>
      </c>
      <c r="AB29" s="11">
        <v>2</v>
      </c>
      <c r="AF29" s="11" t="s">
        <v>126</v>
      </c>
      <c r="AG29" s="11">
        <v>9</v>
      </c>
      <c r="AH29"/>
      <c r="AI29" s="11">
        <v>7</v>
      </c>
    </row>
    <row r="30" spans="1:35" s="11" customFormat="1" x14ac:dyDescent="0.25">
      <c r="A30" s="71" t="s">
        <v>127</v>
      </c>
      <c r="B30" s="72">
        <f t="shared" si="1"/>
        <v>23</v>
      </c>
      <c r="C30" s="66">
        <v>1</v>
      </c>
      <c r="D30" s="66" t="s">
        <v>41</v>
      </c>
      <c r="E30" s="66" t="s">
        <v>35</v>
      </c>
      <c r="F30" s="67" t="s">
        <v>38</v>
      </c>
      <c r="G30" s="66" t="s">
        <v>56</v>
      </c>
      <c r="H30" s="66">
        <v>61.4</v>
      </c>
      <c r="I30" s="66">
        <v>27.7</v>
      </c>
      <c r="J30" s="67" t="s">
        <v>52</v>
      </c>
      <c r="K30" s="11" t="s">
        <v>38</v>
      </c>
      <c r="L30" s="11" t="s">
        <v>43</v>
      </c>
      <c r="M30" s="11" t="s">
        <v>43</v>
      </c>
      <c r="N30" s="11" t="s">
        <v>44</v>
      </c>
      <c r="P30" s="11">
        <v>0</v>
      </c>
      <c r="Q30" s="28">
        <v>35213</v>
      </c>
      <c r="R30" s="28">
        <v>43750</v>
      </c>
      <c r="S30" s="37">
        <f t="shared" si="2"/>
        <v>43750</v>
      </c>
      <c r="T30" s="11">
        <v>72.099999999999994</v>
      </c>
      <c r="U30" s="11">
        <v>180</v>
      </c>
      <c r="V30" s="11">
        <f>Table1[[#This Row],[Weight]]/((Table1[[#This Row],[Height]]/100)^2)</f>
        <v>22.253086419753082</v>
      </c>
      <c r="W30"/>
      <c r="Y30" s="38">
        <f>(6*75)/60</f>
        <v>7.5</v>
      </c>
      <c r="Z30" s="38">
        <f>Table1[[#This Row],[Total hours exercise per week]]*60</f>
        <v>450</v>
      </c>
      <c r="AA30" s="11" t="s">
        <v>103</v>
      </c>
      <c r="AB30" s="11">
        <v>2</v>
      </c>
      <c r="AF30" s="11" t="s">
        <v>128</v>
      </c>
      <c r="AG30" s="11">
        <v>10</v>
      </c>
      <c r="AH30"/>
      <c r="AI30" s="11">
        <v>7</v>
      </c>
    </row>
    <row r="31" spans="1:35" s="11" customFormat="1" x14ac:dyDescent="0.25">
      <c r="A31" s="71" t="s">
        <v>129</v>
      </c>
      <c r="B31" s="72">
        <f t="shared" si="1"/>
        <v>42</v>
      </c>
      <c r="C31" s="66">
        <v>1</v>
      </c>
      <c r="D31" s="66" t="s">
        <v>35</v>
      </c>
      <c r="E31" s="66" t="s">
        <v>35</v>
      </c>
      <c r="F31" s="67" t="s">
        <v>38</v>
      </c>
      <c r="G31" s="66" t="s">
        <v>56</v>
      </c>
      <c r="H31" s="66">
        <v>48.3</v>
      </c>
      <c r="I31" s="66">
        <v>22.6</v>
      </c>
      <c r="J31" s="67" t="s">
        <v>42</v>
      </c>
      <c r="K31" s="11" t="s">
        <v>38</v>
      </c>
      <c r="L31" s="11" t="s">
        <v>43</v>
      </c>
      <c r="M31" s="11" t="s">
        <v>43</v>
      </c>
      <c r="N31" s="11" t="s">
        <v>44</v>
      </c>
      <c r="P31" s="11">
        <v>0</v>
      </c>
      <c r="Q31" s="28">
        <v>28120</v>
      </c>
      <c r="R31" s="28">
        <v>43750</v>
      </c>
      <c r="S31" s="37">
        <f t="shared" si="2"/>
        <v>43750</v>
      </c>
      <c r="T31" s="11">
        <v>79</v>
      </c>
      <c r="U31" s="11">
        <v>184.2</v>
      </c>
      <c r="V31" s="11">
        <f>Table1[[#This Row],[Weight]]/((Table1[[#This Row],[Height]]/100)^2)</f>
        <v>23.283477219327999</v>
      </c>
      <c r="W31"/>
      <c r="Y31" s="38">
        <f>(45+4*30+5*30)/60</f>
        <v>5.25</v>
      </c>
      <c r="Z31" s="38">
        <f>Table1[[#This Row],[Total hours exercise per week]]*60</f>
        <v>315</v>
      </c>
      <c r="AA31" s="11" t="s">
        <v>130</v>
      </c>
      <c r="AB31" s="11">
        <v>4</v>
      </c>
      <c r="AF31" s="11" t="s">
        <v>50</v>
      </c>
      <c r="AG31" s="11">
        <v>0</v>
      </c>
      <c r="AH31"/>
      <c r="AI31" s="11">
        <v>7</v>
      </c>
    </row>
    <row r="32" spans="1:35" s="11" customFormat="1" x14ac:dyDescent="0.25">
      <c r="A32" s="71" t="s">
        <v>131</v>
      </c>
      <c r="B32" s="72">
        <f t="shared" si="1"/>
        <v>18</v>
      </c>
      <c r="C32" s="66">
        <v>1</v>
      </c>
      <c r="D32" s="66" t="s">
        <v>41</v>
      </c>
      <c r="E32" s="66" t="s">
        <v>35</v>
      </c>
      <c r="F32" s="67" t="s">
        <v>38</v>
      </c>
      <c r="G32" s="66" t="s">
        <v>56</v>
      </c>
      <c r="H32" s="66">
        <v>42.3</v>
      </c>
      <c r="I32" s="66">
        <v>17.8</v>
      </c>
      <c r="J32" s="67" t="s">
        <v>42</v>
      </c>
      <c r="K32" s="11" t="s">
        <v>38</v>
      </c>
      <c r="L32" s="11" t="s">
        <v>43</v>
      </c>
      <c r="M32" s="11" t="s">
        <v>43</v>
      </c>
      <c r="N32" s="11" t="s">
        <v>44</v>
      </c>
      <c r="P32" s="11">
        <v>0</v>
      </c>
      <c r="Q32" s="28">
        <v>36827</v>
      </c>
      <c r="R32" s="28">
        <v>43753</v>
      </c>
      <c r="S32" s="37">
        <f t="shared" si="2"/>
        <v>43753</v>
      </c>
      <c r="T32" s="11">
        <v>77.3</v>
      </c>
      <c r="U32" s="11">
        <v>180.8</v>
      </c>
      <c r="V32" s="11">
        <f>Table1[[#This Row],[Weight]]/((Table1[[#This Row],[Height]]/100)^2)</f>
        <v>23.647358837810319</v>
      </c>
      <c r="W32"/>
      <c r="Y32" s="38">
        <f>(2*60+60+2*60)/60</f>
        <v>5</v>
      </c>
      <c r="Z32" s="38">
        <f>Table1[[#This Row],[Total hours exercise per week]]*60</f>
        <v>300</v>
      </c>
      <c r="AA32" s="11" t="s">
        <v>132</v>
      </c>
      <c r="AB32" s="11">
        <v>4</v>
      </c>
      <c r="AF32" s="11" t="s">
        <v>133</v>
      </c>
      <c r="AG32" s="11">
        <v>6</v>
      </c>
      <c r="AH32"/>
      <c r="AI32" s="11">
        <v>7</v>
      </c>
    </row>
    <row r="33" spans="1:35" s="11" customFormat="1" x14ac:dyDescent="0.25">
      <c r="A33" s="71" t="s">
        <v>134</v>
      </c>
      <c r="B33" s="72">
        <f t="shared" si="1"/>
        <v>31</v>
      </c>
      <c r="C33" s="66">
        <v>1</v>
      </c>
      <c r="D33" s="66" t="s">
        <v>41</v>
      </c>
      <c r="E33" s="66" t="s">
        <v>35</v>
      </c>
      <c r="F33" s="67" t="s">
        <v>38</v>
      </c>
      <c r="G33" s="66" t="s">
        <v>56</v>
      </c>
      <c r="H33" s="66">
        <v>49.4</v>
      </c>
      <c r="I33" s="66">
        <v>22.5</v>
      </c>
      <c r="J33" s="67" t="s">
        <v>42</v>
      </c>
      <c r="K33" s="11" t="s">
        <v>38</v>
      </c>
      <c r="L33" s="11" t="s">
        <v>43</v>
      </c>
      <c r="M33" s="11" t="s">
        <v>43</v>
      </c>
      <c r="N33" s="11" t="s">
        <v>44</v>
      </c>
      <c r="P33" s="11">
        <v>0</v>
      </c>
      <c r="Q33" s="28">
        <v>32283</v>
      </c>
      <c r="R33" s="28">
        <v>43755</v>
      </c>
      <c r="S33" s="37">
        <f t="shared" si="2"/>
        <v>43755</v>
      </c>
      <c r="T33" s="11">
        <v>81.8</v>
      </c>
      <c r="U33" s="11">
        <v>180.5</v>
      </c>
      <c r="V33" s="11">
        <f>Table1[[#This Row],[Weight]]/((Table1[[#This Row],[Height]]/100)^2)</f>
        <v>25.10723521151618</v>
      </c>
      <c r="W33"/>
      <c r="Y33" s="38">
        <f>(3*40+3.5*30)/60</f>
        <v>3.75</v>
      </c>
      <c r="Z33" s="38">
        <f>Table1[[#This Row],[Total hours exercise per week]]*60</f>
        <v>225</v>
      </c>
      <c r="AA33" s="11" t="s">
        <v>135</v>
      </c>
      <c r="AB33" s="11">
        <v>4</v>
      </c>
      <c r="AF33" s="11" t="s">
        <v>114</v>
      </c>
      <c r="AG33" s="11">
        <v>9</v>
      </c>
      <c r="AH33"/>
      <c r="AI33" s="11">
        <v>7</v>
      </c>
    </row>
    <row r="34" spans="1:35" s="11" customFormat="1" x14ac:dyDescent="0.25">
      <c r="A34" s="31" t="s">
        <v>136</v>
      </c>
      <c r="B34" s="37">
        <f t="shared" si="1"/>
        <v>28</v>
      </c>
      <c r="C34" s="11">
        <v>1</v>
      </c>
      <c r="D34" s="11" t="s">
        <v>41</v>
      </c>
      <c r="E34" s="11" t="s">
        <v>35</v>
      </c>
      <c r="G34" s="11" t="s">
        <v>36</v>
      </c>
      <c r="H34" s="11">
        <v>40.6</v>
      </c>
      <c r="I34"/>
      <c r="J34" s="11" t="s">
        <v>37</v>
      </c>
      <c r="K34" s="11" t="s">
        <v>44</v>
      </c>
      <c r="N34" s="11" t="s">
        <v>44</v>
      </c>
      <c r="P34" s="11">
        <v>0</v>
      </c>
      <c r="Q34" s="28">
        <v>33410</v>
      </c>
      <c r="R34" s="28">
        <v>43756</v>
      </c>
      <c r="S34" s="37">
        <f t="shared" si="2"/>
        <v>43756</v>
      </c>
      <c r="T34" s="11">
        <v>87.2</v>
      </c>
      <c r="U34" s="11">
        <v>173.8</v>
      </c>
      <c r="V34" s="11">
        <f>Table1[[#This Row],[Weight]]/((Table1[[#This Row],[Height]]/100)^2)</f>
        <v>28.8680162243548</v>
      </c>
      <c r="W34"/>
      <c r="Z34" s="11">
        <f>Table1[[#This Row],[Total hours exercise per week]]*60</f>
        <v>0</v>
      </c>
      <c r="AG34"/>
      <c r="AH34"/>
    </row>
    <row r="35" spans="1:35" s="11" customFormat="1" x14ac:dyDescent="0.25">
      <c r="A35" s="31" t="s">
        <v>137</v>
      </c>
      <c r="B35" s="37">
        <f t="shared" si="1"/>
        <v>23</v>
      </c>
      <c r="C35" s="11">
        <v>1</v>
      </c>
      <c r="D35" s="11" t="s">
        <v>41</v>
      </c>
      <c r="E35" s="11" t="s">
        <v>35</v>
      </c>
      <c r="F35" s="69"/>
      <c r="G35" s="70" t="s">
        <v>56</v>
      </c>
      <c r="H35" s="70">
        <v>52.4</v>
      </c>
      <c r="I35" s="70">
        <v>23.2</v>
      </c>
      <c r="J35" s="70" t="s">
        <v>42</v>
      </c>
      <c r="K35" s="11" t="s">
        <v>38</v>
      </c>
      <c r="L35" s="11" t="s">
        <v>43</v>
      </c>
      <c r="M35" s="11" t="s">
        <v>43</v>
      </c>
      <c r="N35" s="11" t="s">
        <v>44</v>
      </c>
      <c r="P35" s="11">
        <v>0</v>
      </c>
      <c r="Q35" s="28">
        <v>35167</v>
      </c>
      <c r="R35" s="28">
        <v>43776</v>
      </c>
      <c r="S35" s="37">
        <f t="shared" si="2"/>
        <v>43776</v>
      </c>
      <c r="T35" s="11">
        <v>78.3</v>
      </c>
      <c r="U35" s="11">
        <v>181</v>
      </c>
      <c r="V35" s="11">
        <f>Table1[[#This Row],[Weight]]/((Table1[[#This Row],[Height]]/100)^2)</f>
        <v>23.900369341595187</v>
      </c>
      <c r="W35"/>
      <c r="Y35" s="38">
        <f>(4*60+2*90)/60</f>
        <v>7</v>
      </c>
      <c r="Z35" s="38">
        <f>Table1[[#This Row],[Total hours exercise per week]]*60</f>
        <v>420</v>
      </c>
      <c r="AA35" s="11" t="s">
        <v>138</v>
      </c>
      <c r="AB35" s="11">
        <v>4</v>
      </c>
      <c r="AF35" s="11" t="s">
        <v>139</v>
      </c>
      <c r="AG35" s="11">
        <v>13</v>
      </c>
      <c r="AH35"/>
      <c r="AI35" s="11">
        <v>7</v>
      </c>
    </row>
    <row r="36" spans="1:35" s="11" customFormat="1" x14ac:dyDescent="0.25">
      <c r="A36" s="71" t="s">
        <v>140</v>
      </c>
      <c r="B36" s="72">
        <f t="shared" si="1"/>
        <v>24</v>
      </c>
      <c r="C36" s="66">
        <v>1</v>
      </c>
      <c r="D36" s="66" t="s">
        <v>41</v>
      </c>
      <c r="E36" s="66" t="s">
        <v>35</v>
      </c>
      <c r="F36" s="67" t="s">
        <v>38</v>
      </c>
      <c r="G36" s="66" t="s">
        <v>56</v>
      </c>
      <c r="H36" s="66">
        <v>74</v>
      </c>
      <c r="I36" s="66">
        <v>13.9</v>
      </c>
      <c r="J36" s="67" t="s">
        <v>52</v>
      </c>
      <c r="K36" s="67" t="s">
        <v>44</v>
      </c>
      <c r="L36" s="11" t="s">
        <v>43</v>
      </c>
      <c r="M36" s="11" t="s">
        <v>43</v>
      </c>
      <c r="N36" s="11" t="s">
        <v>44</v>
      </c>
      <c r="P36" s="11">
        <v>0</v>
      </c>
      <c r="Q36" s="28">
        <v>34679</v>
      </c>
      <c r="R36" s="28">
        <v>43769</v>
      </c>
      <c r="S36" s="37">
        <f t="shared" si="2"/>
        <v>43769</v>
      </c>
      <c r="T36" s="11">
        <v>73.5</v>
      </c>
      <c r="U36" s="11">
        <v>181</v>
      </c>
      <c r="V36" s="11">
        <f>Table1[[#This Row],[Weight]]/((Table1[[#This Row],[Height]]/100)^2)</f>
        <v>22.435212600347974</v>
      </c>
      <c r="W36"/>
      <c r="Y36" s="38">
        <f>(4*90+3*30)/60</f>
        <v>7.5</v>
      </c>
      <c r="Z36" s="38">
        <f>Table1[[#This Row],[Total hours exercise per week]]*60</f>
        <v>450</v>
      </c>
      <c r="AA36" s="11" t="s">
        <v>141</v>
      </c>
      <c r="AB36" s="11">
        <v>2</v>
      </c>
      <c r="AF36" s="11" t="s">
        <v>142</v>
      </c>
      <c r="AG36" s="11">
        <v>15</v>
      </c>
      <c r="AH36"/>
      <c r="AI36" s="11">
        <v>8</v>
      </c>
    </row>
    <row r="37" spans="1:35" s="11" customFormat="1" x14ac:dyDescent="0.25">
      <c r="A37" s="31" t="s">
        <v>143</v>
      </c>
      <c r="B37" s="37">
        <f t="shared" si="1"/>
        <v>20</v>
      </c>
      <c r="C37" s="11">
        <v>1</v>
      </c>
      <c r="D37" s="11" t="s">
        <v>35</v>
      </c>
      <c r="E37" s="11" t="s">
        <v>35</v>
      </c>
      <c r="G37" s="11" t="s">
        <v>36</v>
      </c>
      <c r="H37" s="11">
        <v>39</v>
      </c>
      <c r="I37"/>
      <c r="J37" s="11" t="s">
        <v>42</v>
      </c>
      <c r="K37" s="11" t="s">
        <v>44</v>
      </c>
      <c r="N37" s="11" t="s">
        <v>44</v>
      </c>
      <c r="P37" s="11">
        <v>0</v>
      </c>
      <c r="Q37" s="28">
        <v>36142</v>
      </c>
      <c r="R37" s="28">
        <v>43768</v>
      </c>
      <c r="S37" s="37">
        <f t="shared" si="2"/>
        <v>43768</v>
      </c>
      <c r="T37" s="11">
        <v>68.099999999999994</v>
      </c>
      <c r="U37" s="11">
        <v>171</v>
      </c>
      <c r="V37" s="11">
        <f>Table1[[#This Row],[Weight]]/((Table1[[#This Row],[Height]]/100)^2)</f>
        <v>23.289217195034372</v>
      </c>
      <c r="W37"/>
      <c r="Y37" s="38">
        <f>(4*120)/60</f>
        <v>8</v>
      </c>
      <c r="Z37" s="38">
        <f>Table1[[#This Row],[Total hours exercise per week]]*60</f>
        <v>480</v>
      </c>
      <c r="AA37" s="11" t="s">
        <v>57</v>
      </c>
      <c r="AB37" s="11">
        <v>3</v>
      </c>
      <c r="AF37" s="11" t="s">
        <v>144</v>
      </c>
      <c r="AG37" s="11">
        <v>7</v>
      </c>
      <c r="AH37"/>
      <c r="AI37" s="11">
        <v>6</v>
      </c>
    </row>
    <row r="38" spans="1:35" s="11" customFormat="1" x14ac:dyDescent="0.25">
      <c r="A38" s="31" t="s">
        <v>145</v>
      </c>
      <c r="B38" s="37">
        <f t="shared" si="1"/>
        <v>119</v>
      </c>
      <c r="C38" s="11">
        <v>1</v>
      </c>
      <c r="D38" s="11" t="s">
        <v>35</v>
      </c>
      <c r="E38" s="11" t="s">
        <v>41</v>
      </c>
      <c r="G38" s="11" t="s">
        <v>36</v>
      </c>
      <c r="H38" s="11" t="s">
        <v>146</v>
      </c>
      <c r="I38"/>
      <c r="J38" s="11" t="s">
        <v>37</v>
      </c>
      <c r="K38" s="11" t="s">
        <v>44</v>
      </c>
      <c r="L38" s="11" t="s">
        <v>43</v>
      </c>
      <c r="M38" s="11" t="s">
        <v>43</v>
      </c>
      <c r="N38" s="11" t="s">
        <v>44</v>
      </c>
      <c r="P38" s="11">
        <v>0</v>
      </c>
      <c r="Q38" s="61"/>
      <c r="R38" s="61">
        <v>43784</v>
      </c>
      <c r="S38" s="37">
        <f t="shared" si="2"/>
        <v>43784</v>
      </c>
      <c r="T38" s="11">
        <v>76.3</v>
      </c>
      <c r="U38" s="11">
        <v>177</v>
      </c>
      <c r="V38" s="11">
        <f>Table1[[#This Row],[Weight]]/((Table1[[#This Row],[Height]]/100)^2)</f>
        <v>24.354431995914325</v>
      </c>
      <c r="W38"/>
      <c r="Z38" s="11">
        <f>Table1[[#This Row],[Total hours exercise per week]]*60</f>
        <v>0</v>
      </c>
      <c r="AG38"/>
      <c r="AH38"/>
    </row>
    <row r="39" spans="1:35" s="11" customFormat="1" x14ac:dyDescent="0.25">
      <c r="A39" s="71" t="s">
        <v>147</v>
      </c>
      <c r="B39" s="72">
        <f t="shared" si="1"/>
        <v>24</v>
      </c>
      <c r="C39" s="66">
        <v>1</v>
      </c>
      <c r="D39" s="66" t="s">
        <v>41</v>
      </c>
      <c r="E39" s="66" t="s">
        <v>35</v>
      </c>
      <c r="F39" s="67" t="s">
        <v>38</v>
      </c>
      <c r="G39" s="66" t="s">
        <v>56</v>
      </c>
      <c r="H39" s="66">
        <v>39.6</v>
      </c>
      <c r="I39" s="66">
        <v>23.6</v>
      </c>
      <c r="J39" s="67" t="s">
        <v>42</v>
      </c>
      <c r="K39" s="11" t="s">
        <v>38</v>
      </c>
      <c r="L39" s="11" t="s">
        <v>43</v>
      </c>
      <c r="M39" s="11" t="s">
        <v>43</v>
      </c>
      <c r="N39" s="11" t="s">
        <v>44</v>
      </c>
      <c r="P39" s="11">
        <v>0</v>
      </c>
      <c r="Q39" s="28">
        <v>34679</v>
      </c>
      <c r="R39" s="28">
        <v>43770</v>
      </c>
      <c r="S39" s="37">
        <f t="shared" si="2"/>
        <v>43770</v>
      </c>
      <c r="T39" s="11">
        <v>83.4</v>
      </c>
      <c r="U39" s="11">
        <v>175</v>
      </c>
      <c r="V39" s="11">
        <f>Table1[[#This Row],[Weight]]/((Table1[[#This Row],[Height]]/100)^2)</f>
        <v>27.232653061224493</v>
      </c>
      <c r="W39" s="11">
        <v>7</v>
      </c>
      <c r="Y39" s="38">
        <f>(3*120+180+60)/60</f>
        <v>10</v>
      </c>
      <c r="Z39" s="38">
        <f>Table1[[#This Row],[Total hours exercise per week]]*60</f>
        <v>600</v>
      </c>
      <c r="AA39" s="11" t="s">
        <v>148</v>
      </c>
      <c r="AB39" s="11">
        <v>4</v>
      </c>
      <c r="AF39" s="11" t="s">
        <v>149</v>
      </c>
      <c r="AG39" s="11">
        <v>5</v>
      </c>
      <c r="AH39"/>
      <c r="AI39" s="11">
        <v>7</v>
      </c>
    </row>
    <row r="40" spans="1:35" s="11" customFormat="1" x14ac:dyDescent="0.25">
      <c r="A40" s="31" t="s">
        <v>150</v>
      </c>
      <c r="B40" s="37">
        <f t="shared" si="1"/>
        <v>23</v>
      </c>
      <c r="C40" s="11">
        <v>2</v>
      </c>
      <c r="D40" s="11" t="s">
        <v>35</v>
      </c>
      <c r="E40" s="11" t="s">
        <v>35</v>
      </c>
      <c r="G40" s="11" t="s">
        <v>56</v>
      </c>
      <c r="H40" s="11">
        <v>37.6</v>
      </c>
      <c r="I40" s="11">
        <v>22.7</v>
      </c>
      <c r="J40" s="11" t="s">
        <v>42</v>
      </c>
      <c r="K40" s="11" t="s">
        <v>38</v>
      </c>
      <c r="L40" s="11" t="s">
        <v>43</v>
      </c>
      <c r="M40" s="11" t="s">
        <v>43</v>
      </c>
      <c r="N40" s="11" t="s">
        <v>44</v>
      </c>
      <c r="P40" s="11">
        <v>0</v>
      </c>
      <c r="Q40" s="28">
        <v>35123</v>
      </c>
      <c r="R40" s="28">
        <v>43773</v>
      </c>
      <c r="S40" s="37">
        <f t="shared" si="2"/>
        <v>43773</v>
      </c>
      <c r="T40" s="11">
        <v>63.1</v>
      </c>
      <c r="U40" s="11">
        <v>163</v>
      </c>
      <c r="V40" s="11">
        <f>Table1[[#This Row],[Weight]]/((Table1[[#This Row],[Height]]/100)^2)</f>
        <v>23.74948247958147</v>
      </c>
      <c r="W40" s="11">
        <v>7</v>
      </c>
      <c r="Y40" s="38">
        <f>(2*60+3*60)/60</f>
        <v>5</v>
      </c>
      <c r="Z40" s="38">
        <f>Table1[[#This Row],[Total hours exercise per week]]*60</f>
        <v>300</v>
      </c>
      <c r="AA40" s="11" t="s">
        <v>151</v>
      </c>
      <c r="AB40" s="11">
        <v>4</v>
      </c>
      <c r="AF40" s="11" t="s">
        <v>50</v>
      </c>
      <c r="AG40" s="11">
        <v>0</v>
      </c>
      <c r="AH40"/>
      <c r="AI40" s="11">
        <v>7</v>
      </c>
    </row>
    <row r="41" spans="1:35" s="11" customFormat="1" x14ac:dyDescent="0.25">
      <c r="A41" s="31" t="s">
        <v>152</v>
      </c>
      <c r="B41" s="37">
        <f t="shared" si="1"/>
        <v>28</v>
      </c>
      <c r="C41" s="11">
        <v>1</v>
      </c>
      <c r="D41" s="11" t="s">
        <v>41</v>
      </c>
      <c r="E41" s="11" t="s">
        <v>35</v>
      </c>
      <c r="G41" s="11" t="s">
        <v>36</v>
      </c>
      <c r="H41" s="11">
        <v>51.7</v>
      </c>
      <c r="I41"/>
      <c r="J41" s="11" t="s">
        <v>120</v>
      </c>
      <c r="K41" s="11" t="s">
        <v>38</v>
      </c>
      <c r="L41" s="11" t="s">
        <v>121</v>
      </c>
      <c r="M41" s="11" t="s">
        <v>121</v>
      </c>
      <c r="N41" s="11" t="s">
        <v>38</v>
      </c>
      <c r="O41" s="11" t="s">
        <v>41</v>
      </c>
      <c r="P41" s="11">
        <v>30</v>
      </c>
      <c r="Q41" s="28">
        <v>33485</v>
      </c>
      <c r="R41" s="28">
        <v>43780</v>
      </c>
      <c r="S41" s="37">
        <f t="shared" si="2"/>
        <v>43780</v>
      </c>
      <c r="T41" s="11">
        <v>88.2</v>
      </c>
      <c r="U41" s="11">
        <v>196.3</v>
      </c>
      <c r="V41" s="11">
        <f>Table1[[#This Row],[Weight]]/((Table1[[#This Row],[Height]]/100)^2)</f>
        <v>22.889061493980982</v>
      </c>
      <c r="W41"/>
      <c r="Z41" s="11">
        <f>Table1[[#This Row],[Total hours exercise per week]]*60</f>
        <v>0</v>
      </c>
      <c r="AG41"/>
      <c r="AH41"/>
    </row>
    <row r="42" spans="1:35" s="11" customFormat="1" x14ac:dyDescent="0.25">
      <c r="A42" s="31" t="s">
        <v>153</v>
      </c>
      <c r="B42" s="37">
        <f t="shared" si="1"/>
        <v>28</v>
      </c>
      <c r="C42" s="11">
        <v>1</v>
      </c>
      <c r="D42" s="11" t="s">
        <v>35</v>
      </c>
      <c r="E42" s="11" t="s">
        <v>35</v>
      </c>
      <c r="G42" s="11" t="s">
        <v>56</v>
      </c>
      <c r="H42" s="11">
        <v>47.2</v>
      </c>
      <c r="I42" s="11">
        <v>21.1</v>
      </c>
      <c r="J42" s="11" t="s">
        <v>42</v>
      </c>
      <c r="K42" s="11" t="s">
        <v>38</v>
      </c>
      <c r="L42" s="11" t="s">
        <v>43</v>
      </c>
      <c r="M42" s="11" t="s">
        <v>43</v>
      </c>
      <c r="N42" s="11" t="s">
        <v>44</v>
      </c>
      <c r="P42" s="11">
        <v>0</v>
      </c>
      <c r="Q42" s="28">
        <v>33482</v>
      </c>
      <c r="R42" s="28">
        <v>43781</v>
      </c>
      <c r="S42" s="37">
        <f t="shared" si="2"/>
        <v>43781</v>
      </c>
      <c r="T42" s="11">
        <v>72.7</v>
      </c>
      <c r="U42" s="11">
        <v>177.5</v>
      </c>
      <c r="V42" s="11">
        <f>Table1[[#This Row],[Weight]]/((Table1[[#This Row],[Height]]/100)^2)</f>
        <v>23.074786748660983</v>
      </c>
      <c r="W42" s="11">
        <v>6</v>
      </c>
      <c r="Y42" s="38">
        <f>(5*45+2*90+30)/60</f>
        <v>7.25</v>
      </c>
      <c r="Z42" s="38">
        <f>Table1[[#This Row],[Total hours exercise per week]]*60</f>
        <v>435</v>
      </c>
      <c r="AA42" s="11" t="s">
        <v>154</v>
      </c>
      <c r="AB42" s="11">
        <v>2</v>
      </c>
      <c r="AF42" s="11" t="s">
        <v>155</v>
      </c>
      <c r="AG42" s="11">
        <v>10</v>
      </c>
      <c r="AH42"/>
      <c r="AI42" s="11">
        <v>6</v>
      </c>
    </row>
    <row r="43" spans="1:35" s="11" customFormat="1" x14ac:dyDescent="0.25">
      <c r="A43" s="31" t="s">
        <v>156</v>
      </c>
      <c r="B43" s="37">
        <f t="shared" ref="B43:B52" si="3">ROUNDDOWN((R43-Q43)/365.25,0)</f>
        <v>34</v>
      </c>
      <c r="C43" s="11">
        <v>1</v>
      </c>
      <c r="D43" s="11" t="s">
        <v>35</v>
      </c>
      <c r="G43" s="11" t="s">
        <v>56</v>
      </c>
      <c r="H43" s="11">
        <v>55.9</v>
      </c>
      <c r="I43" s="11">
        <v>19.3</v>
      </c>
      <c r="J43" s="11" t="s">
        <v>157</v>
      </c>
      <c r="K43" s="11" t="s">
        <v>38</v>
      </c>
      <c r="L43" s="11" t="s">
        <v>43</v>
      </c>
      <c r="M43" s="11" t="s">
        <v>121</v>
      </c>
      <c r="N43" s="11" t="s">
        <v>38</v>
      </c>
      <c r="Q43" s="28">
        <v>31382</v>
      </c>
      <c r="R43" s="28">
        <v>43802</v>
      </c>
      <c r="S43" s="37">
        <f t="shared" ref="S43:S52" si="4">R43</f>
        <v>43802</v>
      </c>
      <c r="T43" s="11">
        <v>67.900000000000006</v>
      </c>
      <c r="U43" s="11">
        <v>168.5</v>
      </c>
      <c r="V43" s="11">
        <f>Table1[[#This Row],[Weight]]/((Table1[[#This Row],[Height]]/100)^2)</f>
        <v>23.914976798245998</v>
      </c>
      <c r="W43" s="11">
        <v>3</v>
      </c>
      <c r="X43" s="11">
        <v>1</v>
      </c>
      <c r="Y43" s="38">
        <f>(2*60 + 60)/60</f>
        <v>3</v>
      </c>
      <c r="Z43" s="38">
        <f>Table1[[#This Row],[Total hours exercise per week]]*60</f>
        <v>180</v>
      </c>
      <c r="AA43" s="11" t="s">
        <v>79</v>
      </c>
      <c r="AB43" s="11">
        <v>4</v>
      </c>
      <c r="AC43" s="11">
        <v>0</v>
      </c>
      <c r="AD43" s="11" t="s">
        <v>50</v>
      </c>
      <c r="AE43" s="11" t="s">
        <v>54</v>
      </c>
      <c r="AF43" s="11" t="s">
        <v>158</v>
      </c>
      <c r="AG43" s="11">
        <v>13</v>
      </c>
      <c r="AH43" s="11">
        <v>6</v>
      </c>
      <c r="AI43" s="11">
        <v>5</v>
      </c>
    </row>
    <row r="44" spans="1:35" s="11" customFormat="1" x14ac:dyDescent="0.25">
      <c r="A44" s="31" t="s">
        <v>159</v>
      </c>
      <c r="B44" s="37">
        <f t="shared" si="3"/>
        <v>29</v>
      </c>
      <c r="C44" s="11">
        <v>2</v>
      </c>
      <c r="D44" s="11" t="s">
        <v>41</v>
      </c>
      <c r="E44" s="11" t="s">
        <v>35</v>
      </c>
      <c r="G44" s="11" t="s">
        <v>36</v>
      </c>
      <c r="H44" s="11">
        <v>51.2</v>
      </c>
      <c r="I44"/>
      <c r="J44" s="11" t="s">
        <v>120</v>
      </c>
      <c r="K44" s="11" t="s">
        <v>38</v>
      </c>
      <c r="L44" s="11" t="s">
        <v>121</v>
      </c>
      <c r="M44" s="11" t="s">
        <v>121</v>
      </c>
      <c r="N44" s="11" t="s">
        <v>38</v>
      </c>
      <c r="Q44" s="60">
        <v>33070</v>
      </c>
      <c r="R44" s="60">
        <v>43810</v>
      </c>
      <c r="S44" s="37">
        <f t="shared" si="4"/>
        <v>43810</v>
      </c>
      <c r="T44" s="11">
        <v>57.3</v>
      </c>
      <c r="U44" s="11">
        <v>163.30000000000001</v>
      </c>
      <c r="V44" s="11">
        <f>Table1[[#This Row],[Weight]]/((Table1[[#This Row],[Height]]/100)^2)</f>
        <v>21.487320043694634</v>
      </c>
      <c r="W44"/>
      <c r="Z44" s="11">
        <f>Table1[[#This Row],[Total hours exercise per week]]*60</f>
        <v>0</v>
      </c>
      <c r="AG44"/>
      <c r="AH44"/>
    </row>
    <row r="45" spans="1:35" s="11" customFormat="1" x14ac:dyDescent="0.25">
      <c r="A45" s="71" t="s">
        <v>160</v>
      </c>
      <c r="B45" s="72">
        <f t="shared" si="3"/>
        <v>34</v>
      </c>
      <c r="C45" s="66">
        <v>1</v>
      </c>
      <c r="D45" s="66" t="s">
        <v>41</v>
      </c>
      <c r="E45" s="66" t="s">
        <v>35</v>
      </c>
      <c r="F45" s="67" t="s">
        <v>38</v>
      </c>
      <c r="G45" s="66" t="s">
        <v>56</v>
      </c>
      <c r="H45" s="66">
        <v>66.900000000000006</v>
      </c>
      <c r="I45" s="66">
        <v>14.2</v>
      </c>
      <c r="J45" s="66" t="s">
        <v>52</v>
      </c>
      <c r="K45" s="67" t="s">
        <v>44</v>
      </c>
      <c r="L45" s="11" t="s">
        <v>43</v>
      </c>
      <c r="M45" s="11" t="s">
        <v>43</v>
      </c>
      <c r="N45" s="11" t="s">
        <v>44</v>
      </c>
      <c r="P45" s="11">
        <v>0</v>
      </c>
      <c r="Q45" s="59">
        <v>31213</v>
      </c>
      <c r="R45" s="59">
        <v>43896</v>
      </c>
      <c r="S45" s="37">
        <f t="shared" si="4"/>
        <v>43896</v>
      </c>
      <c r="T45" s="11">
        <v>90.6</v>
      </c>
      <c r="U45" s="11">
        <v>181.5</v>
      </c>
      <c r="V45" s="11">
        <f>Table1[[#This Row],[Weight]]/((Table1[[#This Row],[Height]]/100)^2)</f>
        <v>27.502675136033513</v>
      </c>
      <c r="W45"/>
      <c r="Y45" s="38">
        <f>(2*120)/60</f>
        <v>4</v>
      </c>
      <c r="Z45" s="38">
        <f>Table1[[#This Row],[Total hours exercise per week]]*60</f>
        <v>240</v>
      </c>
      <c r="AA45" s="11" t="s">
        <v>57</v>
      </c>
      <c r="AB45" s="11">
        <v>3</v>
      </c>
      <c r="AF45" s="11" t="s">
        <v>161</v>
      </c>
      <c r="AG45" s="11">
        <v>12</v>
      </c>
      <c r="AH45"/>
      <c r="AI45" s="11">
        <v>6</v>
      </c>
    </row>
    <row r="46" spans="1:35" s="11" customFormat="1" x14ac:dyDescent="0.25">
      <c r="A46" s="31" t="s">
        <v>162</v>
      </c>
      <c r="B46" s="37">
        <f t="shared" si="3"/>
        <v>31</v>
      </c>
      <c r="C46" s="11">
        <v>1</v>
      </c>
      <c r="D46" s="11" t="s">
        <v>41</v>
      </c>
      <c r="E46" s="11" t="s">
        <v>35</v>
      </c>
      <c r="G46" s="11" t="s">
        <v>56</v>
      </c>
      <c r="H46" s="11">
        <v>78.3</v>
      </c>
      <c r="I46" s="11">
        <v>23.9</v>
      </c>
      <c r="J46" s="11" t="s">
        <v>157</v>
      </c>
      <c r="K46" s="11" t="s">
        <v>38</v>
      </c>
      <c r="L46" s="11" t="s">
        <v>121</v>
      </c>
      <c r="M46" s="11" t="s">
        <v>43</v>
      </c>
      <c r="N46" s="11" t="s">
        <v>38</v>
      </c>
      <c r="P46" s="11">
        <f>7*12</f>
        <v>84</v>
      </c>
      <c r="Q46" s="28">
        <v>32302</v>
      </c>
      <c r="R46" s="28">
        <v>43893</v>
      </c>
      <c r="S46" s="37">
        <f t="shared" si="4"/>
        <v>43893</v>
      </c>
      <c r="T46" s="11">
        <v>92.9</v>
      </c>
      <c r="U46" s="11">
        <v>183</v>
      </c>
      <c r="V46" s="11">
        <f>Table1[[#This Row],[Weight]]/((Table1[[#This Row],[Height]]/100)^2)</f>
        <v>27.740452088745556</v>
      </c>
      <c r="W46" s="11">
        <v>1</v>
      </c>
      <c r="X46" s="11" t="s">
        <v>50</v>
      </c>
      <c r="Y46" s="11">
        <f>(3*90+3*90)/60</f>
        <v>9</v>
      </c>
      <c r="Z46" s="11">
        <f>Table1[[#This Row],[Total hours exercise per week]]*60</f>
        <v>540</v>
      </c>
      <c r="AA46" s="11" t="s">
        <v>163</v>
      </c>
      <c r="AB46" s="11">
        <v>4</v>
      </c>
      <c r="AC46" s="11">
        <f>(3*90)/60</f>
        <v>4.5</v>
      </c>
      <c r="AD46" s="11" t="s">
        <v>164</v>
      </c>
      <c r="AE46" s="11" t="s">
        <v>61</v>
      </c>
      <c r="AF46" s="11" t="s">
        <v>164</v>
      </c>
      <c r="AG46" s="11">
        <v>28</v>
      </c>
      <c r="AH46"/>
      <c r="AI46" s="11">
        <v>8</v>
      </c>
    </row>
    <row r="47" spans="1:35" s="11" customFormat="1" x14ac:dyDescent="0.25">
      <c r="A47" s="31" t="s">
        <v>165</v>
      </c>
      <c r="B47" s="37">
        <f t="shared" si="3"/>
        <v>22</v>
      </c>
      <c r="C47" s="11">
        <v>2</v>
      </c>
      <c r="D47" s="11" t="s">
        <v>35</v>
      </c>
      <c r="E47" s="11" t="s">
        <v>35</v>
      </c>
      <c r="G47" s="11" t="s">
        <v>36</v>
      </c>
      <c r="H47" s="11">
        <v>39.5</v>
      </c>
      <c r="I47" s="11">
        <v>19.2</v>
      </c>
      <c r="J47" s="11" t="s">
        <v>42</v>
      </c>
      <c r="K47" s="11" t="s">
        <v>44</v>
      </c>
      <c r="L47" s="11" t="s">
        <v>43</v>
      </c>
      <c r="M47" s="11" t="s">
        <v>43</v>
      </c>
      <c r="N47" s="11" t="s">
        <v>44</v>
      </c>
      <c r="P47" s="11">
        <v>0</v>
      </c>
      <c r="Q47" s="28">
        <v>35605</v>
      </c>
      <c r="R47" s="28">
        <v>43885</v>
      </c>
      <c r="S47" s="37">
        <f t="shared" si="4"/>
        <v>43885</v>
      </c>
      <c r="T47" s="11">
        <v>68.3</v>
      </c>
      <c r="U47" s="11">
        <v>173.5</v>
      </c>
      <c r="V47" s="11">
        <f>Table1[[#This Row],[Weight]]/((Table1[[#This Row],[Height]]/100)^2)</f>
        <v>22.68933385378169</v>
      </c>
      <c r="W47"/>
      <c r="Y47" s="38">
        <f>(2.5+4+3+4.5)</f>
        <v>14</v>
      </c>
      <c r="Z47" s="38">
        <f>Table1[[#This Row],[Total hours exercise per week]]*60</f>
        <v>840</v>
      </c>
      <c r="AA47" s="11" t="s">
        <v>166</v>
      </c>
      <c r="AB47" s="11">
        <v>4</v>
      </c>
      <c r="AF47" s="11" t="s">
        <v>167</v>
      </c>
      <c r="AG47" s="11">
        <v>16</v>
      </c>
      <c r="AH47"/>
      <c r="AI47" s="11">
        <v>9</v>
      </c>
    </row>
    <row r="48" spans="1:35" s="11" customFormat="1" x14ac:dyDescent="0.25">
      <c r="A48" s="31" t="s">
        <v>168</v>
      </c>
      <c r="B48" s="37">
        <f t="shared" si="3"/>
        <v>26</v>
      </c>
      <c r="C48" s="11">
        <v>1</v>
      </c>
      <c r="D48" s="11" t="s">
        <v>41</v>
      </c>
      <c r="E48" s="11" t="s">
        <v>41</v>
      </c>
      <c r="G48" s="11" t="s">
        <v>36</v>
      </c>
      <c r="H48" s="11">
        <v>39.5</v>
      </c>
      <c r="I48"/>
      <c r="J48" s="11" t="s">
        <v>120</v>
      </c>
      <c r="K48" s="11" t="s">
        <v>38</v>
      </c>
      <c r="L48" s="11" t="s">
        <v>121</v>
      </c>
      <c r="M48" s="11" t="s">
        <v>121</v>
      </c>
      <c r="N48" s="11" t="s">
        <v>38</v>
      </c>
      <c r="P48" s="11">
        <v>0</v>
      </c>
      <c r="Q48" s="28">
        <v>34368</v>
      </c>
      <c r="R48" s="28">
        <v>43895</v>
      </c>
      <c r="S48" s="37">
        <f t="shared" si="4"/>
        <v>43895</v>
      </c>
      <c r="T48" s="11">
        <v>90.2</v>
      </c>
      <c r="U48" s="11">
        <v>180</v>
      </c>
      <c r="V48" s="11">
        <f>Table1[[#This Row],[Weight]]/((Table1[[#This Row],[Height]]/100)^2)</f>
        <v>27.839506172839506</v>
      </c>
      <c r="W48"/>
      <c r="Z48" s="11">
        <f>Table1[[#This Row],[Total hours exercise per week]]*60</f>
        <v>0</v>
      </c>
      <c r="AG48"/>
      <c r="AH48"/>
    </row>
    <row r="49" spans="1:35" s="11" customFormat="1" x14ac:dyDescent="0.25">
      <c r="A49" s="31" t="s">
        <v>169</v>
      </c>
      <c r="B49" s="37">
        <f t="shared" si="3"/>
        <v>38</v>
      </c>
      <c r="C49" s="11">
        <v>1</v>
      </c>
      <c r="D49" s="11" t="s">
        <v>41</v>
      </c>
      <c r="E49" s="11" t="s">
        <v>35</v>
      </c>
      <c r="G49" s="11" t="s">
        <v>56</v>
      </c>
      <c r="H49" s="11">
        <v>68.8</v>
      </c>
      <c r="I49" s="11">
        <v>16.5</v>
      </c>
      <c r="J49" s="11" t="s">
        <v>157</v>
      </c>
      <c r="K49" s="11" t="s">
        <v>44</v>
      </c>
      <c r="L49" s="11" t="s">
        <v>121</v>
      </c>
      <c r="M49" s="11" t="s">
        <v>43</v>
      </c>
      <c r="N49" s="11" t="s">
        <v>38</v>
      </c>
      <c r="O49" s="11" t="s">
        <v>35</v>
      </c>
      <c r="P49" s="11">
        <v>30</v>
      </c>
      <c r="Q49" s="28">
        <v>29905</v>
      </c>
      <c r="R49" s="59">
        <v>43910</v>
      </c>
      <c r="S49" s="37">
        <f t="shared" si="4"/>
        <v>43910</v>
      </c>
      <c r="T49" s="11">
        <v>88.2</v>
      </c>
      <c r="U49" s="11">
        <v>185.3</v>
      </c>
      <c r="V49" s="11">
        <f>Table1[[#This Row],[Weight]]/((Table1[[#This Row],[Height]]/100)^2)</f>
        <v>25.687257925989822</v>
      </c>
      <c r="W49" s="11">
        <v>3</v>
      </c>
      <c r="X49" s="11">
        <v>1</v>
      </c>
      <c r="Y49" s="11">
        <f>(5*30+5*30+60)/60</f>
        <v>6</v>
      </c>
      <c r="Z49" s="11">
        <f>Table1[[#This Row],[Total hours exercise per week]]*60</f>
        <v>360</v>
      </c>
      <c r="AA49" s="11" t="s">
        <v>170</v>
      </c>
      <c r="AB49" s="11">
        <v>4</v>
      </c>
      <c r="AC49" s="11">
        <v>0</v>
      </c>
      <c r="AD49" s="11" t="s">
        <v>50</v>
      </c>
      <c r="AE49" s="11" t="s">
        <v>61</v>
      </c>
      <c r="AF49" s="11" t="s">
        <v>171</v>
      </c>
      <c r="AG49" s="11">
        <v>10</v>
      </c>
      <c r="AH49" s="11">
        <v>9</v>
      </c>
      <c r="AI49" s="11">
        <v>5</v>
      </c>
    </row>
    <row r="50" spans="1:35" s="11" customFormat="1" ht="16.5" customHeight="1" x14ac:dyDescent="0.25">
      <c r="A50" s="31" t="s">
        <v>172</v>
      </c>
      <c r="B50" s="37">
        <f t="shared" si="3"/>
        <v>25</v>
      </c>
      <c r="C50" s="11">
        <v>1</v>
      </c>
      <c r="D50" s="11" t="s">
        <v>41</v>
      </c>
      <c r="E50" s="11" t="s">
        <v>35</v>
      </c>
      <c r="G50" s="11" t="s">
        <v>36</v>
      </c>
      <c r="H50" s="11">
        <v>42.9</v>
      </c>
      <c r="I50"/>
      <c r="J50" s="11" t="s">
        <v>120</v>
      </c>
      <c r="K50" s="11" t="s">
        <v>44</v>
      </c>
      <c r="L50" s="11" t="s">
        <v>121</v>
      </c>
      <c r="M50" s="11" t="s">
        <v>121</v>
      </c>
      <c r="N50" s="11" t="s">
        <v>38</v>
      </c>
      <c r="O50" s="11" t="s">
        <v>173</v>
      </c>
      <c r="P50" s="11">
        <v>24</v>
      </c>
      <c r="Q50" s="28">
        <v>34790</v>
      </c>
      <c r="R50" s="59">
        <v>43960</v>
      </c>
      <c r="S50" s="37">
        <f t="shared" si="4"/>
        <v>43960</v>
      </c>
      <c r="T50" s="11">
        <v>74.400000000000006</v>
      </c>
      <c r="U50" s="11">
        <v>177.5</v>
      </c>
      <c r="V50" s="11">
        <f>Table1[[#This Row],[Weight]]/((Table1[[#This Row],[Height]]/100)^2)</f>
        <v>23.614362229716331</v>
      </c>
      <c r="W50"/>
      <c r="Z50" s="11">
        <f>Table1[[#This Row],[Total hours exercise per week]]*60</f>
        <v>0</v>
      </c>
      <c r="AG50"/>
      <c r="AH50"/>
    </row>
    <row r="51" spans="1:35" s="11" customFormat="1" x14ac:dyDescent="0.25">
      <c r="A51" s="31" t="s">
        <v>174</v>
      </c>
      <c r="B51" s="37">
        <f t="shared" si="3"/>
        <v>27</v>
      </c>
      <c r="C51" s="11">
        <v>1</v>
      </c>
      <c r="D51" s="11" t="s">
        <v>35</v>
      </c>
      <c r="E51" s="11" t="s">
        <v>35</v>
      </c>
      <c r="G51" s="11" t="s">
        <v>56</v>
      </c>
      <c r="H51" s="62">
        <v>55.3</v>
      </c>
      <c r="I51" s="62">
        <v>27.4</v>
      </c>
      <c r="J51" s="11" t="s">
        <v>157</v>
      </c>
      <c r="K51" s="11" t="s">
        <v>44</v>
      </c>
      <c r="L51" s="11" t="s">
        <v>43</v>
      </c>
      <c r="M51" s="11" t="s">
        <v>121</v>
      </c>
      <c r="N51" s="11" t="s">
        <v>38</v>
      </c>
      <c r="O51" s="11" t="s">
        <v>173</v>
      </c>
      <c r="P51" s="11">
        <v>30</v>
      </c>
      <c r="Q51" s="28">
        <v>34111</v>
      </c>
      <c r="R51" s="28">
        <v>44074</v>
      </c>
      <c r="S51" s="37">
        <f t="shared" si="4"/>
        <v>44074</v>
      </c>
      <c r="T51" s="11">
        <v>83.7</v>
      </c>
      <c r="U51" s="11">
        <v>189.3</v>
      </c>
      <c r="V51" s="11">
        <f>Table1[[#This Row],[Weight]]/((Table1[[#This Row],[Height]]/100)^2)</f>
        <v>23.357385580204994</v>
      </c>
      <c r="W51" s="11">
        <v>1</v>
      </c>
      <c r="X51" s="11" t="s">
        <v>50</v>
      </c>
      <c r="Y51" s="38">
        <f>(2*60+4*60+30)/60</f>
        <v>6.5</v>
      </c>
      <c r="Z51" s="38">
        <f>Table1[[#This Row],[Total hours exercise per week]]*60</f>
        <v>390</v>
      </c>
      <c r="AA51" s="11" t="s">
        <v>175</v>
      </c>
      <c r="AB51" s="11">
        <v>6</v>
      </c>
      <c r="AC51" s="11">
        <v>0</v>
      </c>
      <c r="AD51" s="11" t="s">
        <v>50</v>
      </c>
      <c r="AE51" s="11" t="s">
        <v>46</v>
      </c>
      <c r="AF51" s="11" t="s">
        <v>176</v>
      </c>
      <c r="AG51" s="11">
        <v>8</v>
      </c>
      <c r="AH51" s="11">
        <v>7</v>
      </c>
      <c r="AI51" s="11">
        <v>6</v>
      </c>
    </row>
    <row r="52" spans="1:35" s="11" customFormat="1" x14ac:dyDescent="0.25">
      <c r="A52" s="31" t="s">
        <v>177</v>
      </c>
      <c r="B52" s="37">
        <f t="shared" si="3"/>
        <v>30</v>
      </c>
      <c r="C52" s="11">
        <v>2</v>
      </c>
      <c r="D52" s="11" t="s">
        <v>41</v>
      </c>
      <c r="E52" s="11" t="s">
        <v>35</v>
      </c>
      <c r="G52" s="11" t="s">
        <v>56</v>
      </c>
      <c r="H52" s="62">
        <v>67.900000000000006</v>
      </c>
      <c r="I52" s="62">
        <v>28.8</v>
      </c>
      <c r="J52" s="11" t="s">
        <v>157</v>
      </c>
      <c r="K52" s="11" t="s">
        <v>44</v>
      </c>
      <c r="L52" s="11" t="s">
        <v>121</v>
      </c>
      <c r="M52" s="11" t="s">
        <v>43</v>
      </c>
      <c r="N52" s="11" t="s">
        <v>38</v>
      </c>
      <c r="O52" s="11" t="s">
        <v>173</v>
      </c>
      <c r="P52" s="11">
        <f>7*12</f>
        <v>84</v>
      </c>
      <c r="Q52" s="28">
        <v>32823</v>
      </c>
      <c r="R52" s="28">
        <v>44085</v>
      </c>
      <c r="S52" s="37">
        <f t="shared" si="4"/>
        <v>44085</v>
      </c>
      <c r="T52" s="11">
        <v>60.9</v>
      </c>
      <c r="U52" s="11">
        <v>168.9</v>
      </c>
      <c r="V52" s="11">
        <f>Table1[[#This Row],[Weight]]/((Table1[[#This Row],[Height]]/100)^2)</f>
        <v>21.348039293011826</v>
      </c>
      <c r="W52" s="11">
        <v>1</v>
      </c>
      <c r="X52" s="11" t="s">
        <v>50</v>
      </c>
      <c r="Y52" s="38">
        <f>(1*90+30)/60</f>
        <v>2</v>
      </c>
      <c r="Z52" s="38">
        <f>Table1[[#This Row],[Total hours exercise per week]]*60</f>
        <v>120</v>
      </c>
      <c r="AA52" s="11" t="s">
        <v>178</v>
      </c>
      <c r="AB52" s="11">
        <v>6</v>
      </c>
      <c r="AC52" s="11">
        <v>1</v>
      </c>
      <c r="AD52" s="11" t="s">
        <v>106</v>
      </c>
      <c r="AE52" s="11" t="s">
        <v>48</v>
      </c>
      <c r="AF52" s="11" t="s">
        <v>179</v>
      </c>
      <c r="AG52" s="11">
        <v>20</v>
      </c>
      <c r="AH52" s="11">
        <v>5</v>
      </c>
      <c r="AI52" s="11">
        <v>5</v>
      </c>
    </row>
    <row r="53" spans="1:35" s="11" customFormat="1" x14ac:dyDescent="0.25">
      <c r="A53" s="31" t="s">
        <v>180</v>
      </c>
      <c r="B53" s="37">
        <f>ROUNDDOWN((R53-Q53)/365.25,0)</f>
        <v>25</v>
      </c>
      <c r="C53" s="11">
        <v>2</v>
      </c>
      <c r="D53" s="11" t="s">
        <v>35</v>
      </c>
      <c r="E53" s="11" t="s">
        <v>35</v>
      </c>
      <c r="G53" s="11" t="s">
        <v>36</v>
      </c>
      <c r="H53" s="62">
        <v>53.3</v>
      </c>
      <c r="I53" s="62"/>
      <c r="J53" s="11" t="s">
        <v>120</v>
      </c>
      <c r="K53" s="11" t="s">
        <v>44</v>
      </c>
      <c r="L53" s="11" t="s">
        <v>121</v>
      </c>
      <c r="M53" s="11" t="s">
        <v>43</v>
      </c>
      <c r="N53" s="11" t="s">
        <v>38</v>
      </c>
      <c r="O53" s="11" t="s">
        <v>35</v>
      </c>
      <c r="P53" s="11">
        <f>10*12</f>
        <v>120</v>
      </c>
      <c r="Q53" s="28">
        <v>34659</v>
      </c>
      <c r="R53" s="28">
        <v>44092</v>
      </c>
      <c r="S53" s="37">
        <f>R53</f>
        <v>44092</v>
      </c>
      <c r="T53" s="11">
        <v>57.3</v>
      </c>
      <c r="U53" s="11">
        <v>167.8</v>
      </c>
      <c r="V53" s="11">
        <f>Table1[[#This Row],[Weight]]/((Table1[[#This Row],[Height]]/100)^2)</f>
        <v>20.350294990488983</v>
      </c>
      <c r="W53"/>
      <c r="Z53" s="11">
        <f>Table1[[#This Row],[Total hours exercise per week]]*60</f>
        <v>0</v>
      </c>
      <c r="AG53"/>
      <c r="AH53"/>
    </row>
    <row r="54" spans="1:35" s="11" customFormat="1" x14ac:dyDescent="0.25">
      <c r="A54" s="71" t="s">
        <v>181</v>
      </c>
      <c r="B54" s="72">
        <f>ROUNDDOWN((R54-Q54)/365.25,0)</f>
        <v>22</v>
      </c>
      <c r="C54" s="66">
        <v>1</v>
      </c>
      <c r="D54" s="66" t="s">
        <v>41</v>
      </c>
      <c r="E54" s="66" t="s">
        <v>35</v>
      </c>
      <c r="F54" s="75" t="s">
        <v>38</v>
      </c>
      <c r="G54" s="66" t="s">
        <v>56</v>
      </c>
      <c r="H54" s="68">
        <v>67.7</v>
      </c>
      <c r="I54" s="68">
        <v>11.4</v>
      </c>
      <c r="J54" s="66" t="s">
        <v>157</v>
      </c>
      <c r="K54" s="11" t="s">
        <v>44</v>
      </c>
      <c r="L54" s="11" t="s">
        <v>121</v>
      </c>
      <c r="M54" s="11" t="s">
        <v>121</v>
      </c>
      <c r="N54" s="11" t="s">
        <v>38</v>
      </c>
      <c r="O54" s="11" t="s">
        <v>173</v>
      </c>
      <c r="P54" s="1">
        <v>36</v>
      </c>
      <c r="Q54" s="30">
        <v>36058</v>
      </c>
      <c r="R54" s="30">
        <v>44120</v>
      </c>
      <c r="S54" s="37">
        <f>R54</f>
        <v>44120</v>
      </c>
      <c r="T54" s="11">
        <v>79.8</v>
      </c>
      <c r="U54" s="11">
        <v>175.3</v>
      </c>
      <c r="V54" s="11">
        <f>Table1[[#This Row],[Weight]]/((Table1[[#This Row],[Height]]/100)^2)</f>
        <v>25.968033285942212</v>
      </c>
      <c r="W54" s="11">
        <v>1</v>
      </c>
      <c r="X54" s="11">
        <v>1</v>
      </c>
      <c r="Y54" s="38">
        <f>3+0.5</f>
        <v>3.5</v>
      </c>
      <c r="Z54" s="38">
        <f>Table1[[#This Row],[Total hours exercise per week]]*60</f>
        <v>210</v>
      </c>
      <c r="AA54" s="11" t="s">
        <v>182</v>
      </c>
      <c r="AB54" s="11">
        <v>4</v>
      </c>
      <c r="AE54" s="11" t="s">
        <v>61</v>
      </c>
      <c r="AF54" s="11" t="s">
        <v>183</v>
      </c>
      <c r="AG54" s="11">
        <v>17</v>
      </c>
      <c r="AH54" s="11">
        <v>9</v>
      </c>
      <c r="AI54" s="11">
        <v>5</v>
      </c>
    </row>
    <row r="55" spans="1:35" s="11" customFormat="1" x14ac:dyDescent="0.25">
      <c r="A55" s="31" t="s">
        <v>184</v>
      </c>
      <c r="B55" s="37">
        <f>ROUNDDOWN((R55-Q55)/365.25,0)</f>
        <v>38</v>
      </c>
      <c r="C55" s="11">
        <v>1</v>
      </c>
      <c r="D55" s="11" t="s">
        <v>41</v>
      </c>
      <c r="E55" s="11" t="s">
        <v>41</v>
      </c>
      <c r="G55" s="11" t="s">
        <v>36</v>
      </c>
      <c r="H55" s="11">
        <v>41.2</v>
      </c>
      <c r="I55"/>
      <c r="J55" s="11" t="s">
        <v>120</v>
      </c>
      <c r="K55" s="11" t="s">
        <v>44</v>
      </c>
      <c r="L55" s="11" t="s">
        <v>121</v>
      </c>
      <c r="M55" s="11" t="s">
        <v>121</v>
      </c>
      <c r="N55" s="11" t="s">
        <v>38</v>
      </c>
      <c r="O55" s="11" t="s">
        <v>173</v>
      </c>
      <c r="P55" s="11">
        <v>3</v>
      </c>
      <c r="Q55" s="28">
        <v>30163</v>
      </c>
      <c r="R55" s="28">
        <v>44078</v>
      </c>
      <c r="S55" s="37">
        <f>R55</f>
        <v>44078</v>
      </c>
      <c r="T55" s="11">
        <v>84.3</v>
      </c>
      <c r="U55" s="11">
        <v>184</v>
      </c>
      <c r="V55" s="11">
        <f>Table1[[#This Row],[Weight]]/((Table1[[#This Row],[Height]]/100)^2)</f>
        <v>24.899574669187142</v>
      </c>
      <c r="W55"/>
      <c r="Z55" s="11">
        <f>Table1[[#This Row],[Total hours exercise per week]]*60</f>
        <v>0</v>
      </c>
      <c r="AG55"/>
      <c r="AH55"/>
    </row>
    <row r="56" spans="1:35" s="11" customFormat="1" x14ac:dyDescent="0.25">
      <c r="A56" s="31" t="s">
        <v>185</v>
      </c>
      <c r="B56" s="37">
        <f>ROUNDDOWN((R56-Q56)/365.25,0)</f>
        <v>24</v>
      </c>
      <c r="C56" s="11">
        <v>1</v>
      </c>
      <c r="D56" s="11" t="s">
        <v>41</v>
      </c>
      <c r="E56" s="11" t="s">
        <v>35</v>
      </c>
      <c r="G56" s="11" t="s">
        <v>36</v>
      </c>
      <c r="H56" s="11">
        <v>54.1</v>
      </c>
      <c r="I56"/>
      <c r="J56" s="11" t="s">
        <v>120</v>
      </c>
      <c r="K56" s="11" t="s">
        <v>44</v>
      </c>
      <c r="L56" s="11" t="s">
        <v>121</v>
      </c>
      <c r="M56" s="11" t="s">
        <v>121</v>
      </c>
      <c r="N56" s="11" t="s">
        <v>38</v>
      </c>
      <c r="O56" s="11" t="s">
        <v>41</v>
      </c>
      <c r="P56" s="11">
        <f>5*12</f>
        <v>60</v>
      </c>
      <c r="Q56" s="28">
        <v>35183</v>
      </c>
      <c r="R56" s="28">
        <v>44138</v>
      </c>
      <c r="S56" s="37">
        <f>R56</f>
        <v>44138</v>
      </c>
      <c r="T56" s="11">
        <v>67.599999999999994</v>
      </c>
      <c r="U56" s="11">
        <v>179.3</v>
      </c>
      <c r="V56" s="11">
        <f>Table1[[#This Row],[Weight]]/((Table1[[#This Row],[Height]]/100)^2)</f>
        <v>21.027426171493588</v>
      </c>
      <c r="W56" s="37"/>
      <c r="X56" s="37"/>
      <c r="Y56" s="37"/>
      <c r="Z56" s="37">
        <f>Table1[[#This Row],[Total hours exercise per week]]*60</f>
        <v>0</v>
      </c>
      <c r="AA56" s="37"/>
      <c r="AB56" s="37"/>
      <c r="AC56" s="37"/>
      <c r="AD56" s="37"/>
      <c r="AE56" s="37"/>
      <c r="AG56"/>
      <c r="AH56"/>
    </row>
    <row r="57" spans="1:35" s="11" customFormat="1" x14ac:dyDescent="0.25">
      <c r="A57" s="31" t="s">
        <v>186</v>
      </c>
      <c r="B57" s="37">
        <f>ROUNDDOWN((R57-Q57)/365.25,0)</f>
        <v>23</v>
      </c>
      <c r="C57" s="11">
        <v>2</v>
      </c>
      <c r="D57" s="11" t="s">
        <v>41</v>
      </c>
      <c r="E57" s="11" t="s">
        <v>35</v>
      </c>
      <c r="G57" s="11" t="s">
        <v>36</v>
      </c>
      <c r="H57" s="62">
        <v>43.9</v>
      </c>
      <c r="I57" s="62"/>
      <c r="J57" s="11" t="s">
        <v>120</v>
      </c>
      <c r="K57" s="11" t="s">
        <v>44</v>
      </c>
      <c r="L57" s="11" t="s">
        <v>121</v>
      </c>
      <c r="M57" s="11" t="s">
        <v>43</v>
      </c>
      <c r="N57" s="11" t="s">
        <v>38</v>
      </c>
      <c r="O57" s="11" t="s">
        <v>173</v>
      </c>
      <c r="P57" s="11">
        <v>12</v>
      </c>
      <c r="Q57" s="28">
        <v>35580</v>
      </c>
      <c r="R57" s="28">
        <v>44102</v>
      </c>
      <c r="S57" s="37">
        <f>R57</f>
        <v>44102</v>
      </c>
      <c r="T57" s="11">
        <v>83.5</v>
      </c>
      <c r="U57" s="11">
        <v>18.399999999999999</v>
      </c>
      <c r="V57" s="11">
        <f>Table1[[#This Row],[Weight]]/((Table1[[#This Row],[Height]]/100)^2)</f>
        <v>2466.3279773156901</v>
      </c>
      <c r="W57"/>
      <c r="Z57" s="11">
        <f>Table1[[#This Row],[Total hours exercise per week]]*60</f>
        <v>0</v>
      </c>
      <c r="AG57"/>
      <c r="AH57"/>
    </row>
    <row r="58" spans="1:35" s="11" customFormat="1" x14ac:dyDescent="0.25">
      <c r="A58" s="31" t="s">
        <v>187</v>
      </c>
      <c r="B58" s="37">
        <f t="shared" ref="B58:B66" si="5">ROUNDDOWN((R58-Q58)/365.25,0)</f>
        <v>32</v>
      </c>
      <c r="C58" s="11">
        <v>1</v>
      </c>
      <c r="D58" s="11" t="s">
        <v>41</v>
      </c>
      <c r="E58" s="11" t="s">
        <v>35</v>
      </c>
      <c r="G58" s="11" t="s">
        <v>56</v>
      </c>
      <c r="H58" s="11">
        <v>56.6</v>
      </c>
      <c r="I58" s="11">
        <v>15.2</v>
      </c>
      <c r="J58" s="11" t="s">
        <v>157</v>
      </c>
      <c r="K58" s="11" t="s">
        <v>44</v>
      </c>
      <c r="L58" s="11" t="s">
        <v>121</v>
      </c>
      <c r="M58" s="11" t="s">
        <v>121</v>
      </c>
      <c r="N58" s="11" t="s">
        <v>38</v>
      </c>
      <c r="O58" s="11" t="s">
        <v>41</v>
      </c>
      <c r="P58" s="11">
        <v>12</v>
      </c>
      <c r="Q58" s="28">
        <v>32113</v>
      </c>
      <c r="R58" s="28">
        <v>44120</v>
      </c>
      <c r="S58" s="37">
        <f t="shared" ref="S58:S66" si="6">R58</f>
        <v>44120</v>
      </c>
      <c r="T58" s="11">
        <v>66.900000000000006</v>
      </c>
      <c r="U58" s="11">
        <v>174.4</v>
      </c>
      <c r="V58" s="11">
        <f>Table1[[#This Row],[Weight]]/((Table1[[#This Row],[Height]]/100)^2)</f>
        <v>21.995465449036281</v>
      </c>
      <c r="W58" s="11">
        <v>1</v>
      </c>
      <c r="X58" s="11" t="s">
        <v>50</v>
      </c>
      <c r="Y58" s="38">
        <f>(1*60+2*120+2*120+120)/60</f>
        <v>11</v>
      </c>
      <c r="Z58" s="38">
        <f>Table1[[#This Row],[Total hours exercise per week]]*60</f>
        <v>660</v>
      </c>
      <c r="AA58" s="11" t="s">
        <v>188</v>
      </c>
      <c r="AB58" s="11">
        <v>4</v>
      </c>
      <c r="AC58" s="11">
        <v>0</v>
      </c>
      <c r="AD58" s="11" t="s">
        <v>50</v>
      </c>
      <c r="AE58" s="11" t="s">
        <v>61</v>
      </c>
      <c r="AF58" s="11" t="s">
        <v>189</v>
      </c>
      <c r="AG58" s="11">
        <v>6</v>
      </c>
      <c r="AH58" s="11">
        <v>10</v>
      </c>
      <c r="AI58" s="11">
        <v>7</v>
      </c>
    </row>
    <row r="59" spans="1:35" s="11" customFormat="1" x14ac:dyDescent="0.25">
      <c r="A59" s="31" t="s">
        <v>190</v>
      </c>
      <c r="B59" s="37">
        <f t="shared" si="5"/>
        <v>38</v>
      </c>
      <c r="C59" s="11">
        <v>2</v>
      </c>
      <c r="D59" s="11" t="s">
        <v>35</v>
      </c>
      <c r="E59" s="11" t="s">
        <v>35</v>
      </c>
      <c r="G59" s="11" t="s">
        <v>36</v>
      </c>
      <c r="H59" s="11">
        <v>35.200000000000003</v>
      </c>
      <c r="I59"/>
      <c r="J59" s="11" t="s">
        <v>120</v>
      </c>
      <c r="K59" s="11" t="s">
        <v>44</v>
      </c>
      <c r="L59" s="11" t="s">
        <v>121</v>
      </c>
      <c r="M59" s="11" t="s">
        <v>121</v>
      </c>
      <c r="N59" s="11" t="s">
        <v>38</v>
      </c>
      <c r="O59" s="11" t="s">
        <v>35</v>
      </c>
      <c r="P59" s="11">
        <v>24</v>
      </c>
      <c r="Q59" s="28">
        <v>30111</v>
      </c>
      <c r="R59" s="28">
        <v>44128</v>
      </c>
      <c r="S59" s="37">
        <f t="shared" si="6"/>
        <v>44128</v>
      </c>
      <c r="T59" s="11">
        <v>57.9</v>
      </c>
      <c r="U59" s="11">
        <v>164.8</v>
      </c>
      <c r="V59" s="11">
        <f>Table1[[#This Row],[Weight]]/((Table1[[#This Row],[Height]]/100)^2)</f>
        <v>21.318868413611082</v>
      </c>
      <c r="W59" s="11">
        <v>3</v>
      </c>
      <c r="X59" s="11" t="s">
        <v>191</v>
      </c>
      <c r="Y59" s="11">
        <f>(1*60+3*60)/60</f>
        <v>4</v>
      </c>
      <c r="Z59" s="11">
        <f>Table1[[#This Row],[Total hours exercise per week]]*60</f>
        <v>240</v>
      </c>
      <c r="AA59" s="11" t="s">
        <v>192</v>
      </c>
      <c r="AB59" s="11" t="s">
        <v>193</v>
      </c>
      <c r="AC59" s="11">
        <v>0</v>
      </c>
      <c r="AD59" s="11" t="s">
        <v>50</v>
      </c>
      <c r="AE59" s="11" t="s">
        <v>61</v>
      </c>
      <c r="AF59" s="11" t="s">
        <v>126</v>
      </c>
      <c r="AG59" s="11">
        <v>10</v>
      </c>
      <c r="AH59" s="11">
        <v>9</v>
      </c>
      <c r="AI59" s="11">
        <v>6</v>
      </c>
    </row>
    <row r="60" spans="1:35" s="11" customFormat="1" x14ac:dyDescent="0.25">
      <c r="A60" s="31" t="s">
        <v>194</v>
      </c>
      <c r="B60" s="37">
        <f t="shared" si="5"/>
        <v>24</v>
      </c>
      <c r="C60" s="11">
        <v>1</v>
      </c>
      <c r="D60" s="11" t="s">
        <v>35</v>
      </c>
      <c r="E60" s="11" t="s">
        <v>35</v>
      </c>
      <c r="G60" s="11" t="s">
        <v>56</v>
      </c>
      <c r="H60" s="11">
        <v>73.099999999999994</v>
      </c>
      <c r="I60" s="11">
        <v>15.4</v>
      </c>
      <c r="J60" s="11" t="s">
        <v>157</v>
      </c>
      <c r="K60" s="11" t="s">
        <v>44</v>
      </c>
      <c r="L60" s="11" t="s">
        <v>121</v>
      </c>
      <c r="M60" s="11" t="s">
        <v>121</v>
      </c>
      <c r="N60" s="11" t="s">
        <v>38</v>
      </c>
      <c r="O60" s="11" t="s">
        <v>173</v>
      </c>
      <c r="P60" s="11">
        <v>120</v>
      </c>
      <c r="Q60" s="59">
        <v>35005</v>
      </c>
      <c r="R60" s="28">
        <v>44121</v>
      </c>
      <c r="S60" s="37">
        <f t="shared" si="6"/>
        <v>44121</v>
      </c>
      <c r="T60" s="11">
        <v>100.1</v>
      </c>
      <c r="U60" s="11">
        <v>182.1</v>
      </c>
      <c r="V60" s="11">
        <f>Table1[[#This Row],[Weight]]/((Table1[[#This Row],[Height]]/100)^2)</f>
        <v>30.186599019734679</v>
      </c>
      <c r="W60" s="11">
        <v>2</v>
      </c>
      <c r="X60" s="11" t="s">
        <v>50</v>
      </c>
      <c r="Y60" s="11">
        <f>(5*90+2*90)/60</f>
        <v>10.5</v>
      </c>
      <c r="Z60" s="11">
        <f>Table1[[#This Row],[Total hours exercise per week]]*60</f>
        <v>630</v>
      </c>
      <c r="AA60" s="11" t="s">
        <v>195</v>
      </c>
      <c r="AB60" s="11">
        <v>4</v>
      </c>
      <c r="AC60" s="11">
        <v>0</v>
      </c>
      <c r="AD60" s="11" t="s">
        <v>50</v>
      </c>
      <c r="AE60" s="11" t="s">
        <v>61</v>
      </c>
      <c r="AF60" s="11" t="s">
        <v>196</v>
      </c>
      <c r="AG60" s="11">
        <v>15</v>
      </c>
      <c r="AH60" s="11">
        <v>9</v>
      </c>
      <c r="AI60" s="11">
        <v>7</v>
      </c>
    </row>
    <row r="61" spans="1:35" s="11" customFormat="1" x14ac:dyDescent="0.25">
      <c r="A61" s="71" t="s">
        <v>197</v>
      </c>
      <c r="B61" s="72">
        <f t="shared" si="5"/>
        <v>33</v>
      </c>
      <c r="C61" s="66">
        <v>1</v>
      </c>
      <c r="D61" s="66" t="s">
        <v>35</v>
      </c>
      <c r="E61" s="66" t="s">
        <v>35</v>
      </c>
      <c r="F61" s="75" t="s">
        <v>38</v>
      </c>
      <c r="G61" s="66" t="s">
        <v>56</v>
      </c>
      <c r="H61" s="68">
        <v>68</v>
      </c>
      <c r="I61" s="68">
        <v>19.600000000000001</v>
      </c>
      <c r="J61" s="66" t="s">
        <v>157</v>
      </c>
      <c r="K61" s="11" t="s">
        <v>44</v>
      </c>
      <c r="L61" s="11" t="s">
        <v>121</v>
      </c>
      <c r="M61" s="11" t="s">
        <v>121</v>
      </c>
      <c r="N61" s="11" t="s">
        <v>38</v>
      </c>
      <c r="O61" s="11" t="s">
        <v>35</v>
      </c>
      <c r="P61" s="11">
        <v>9</v>
      </c>
      <c r="Q61" s="28">
        <v>31863</v>
      </c>
      <c r="R61" s="28">
        <v>44105</v>
      </c>
      <c r="S61" s="37">
        <f t="shared" si="6"/>
        <v>44105</v>
      </c>
      <c r="T61" s="11">
        <v>76.5</v>
      </c>
      <c r="U61" s="11">
        <v>173.6</v>
      </c>
      <c r="V61" s="11">
        <f>Table1[[#This Row],[Weight]]/((Table1[[#This Row],[Height]]/100)^2)</f>
        <v>25.384113062498674</v>
      </c>
      <c r="W61" s="11">
        <v>3</v>
      </c>
      <c r="X61" s="11">
        <v>1</v>
      </c>
      <c r="Y61" s="38">
        <f>(4*40+2.5*30+2.5*60)/60</f>
        <v>6.416666666666667</v>
      </c>
      <c r="Z61" s="38">
        <f>Table1[[#This Row],[Total hours exercise per week]]*60</f>
        <v>385</v>
      </c>
      <c r="AA61" s="11" t="s">
        <v>198</v>
      </c>
      <c r="AB61" s="11">
        <v>4</v>
      </c>
      <c r="AC61" s="11">
        <v>1</v>
      </c>
      <c r="AD61" s="11" t="s">
        <v>101</v>
      </c>
      <c r="AE61" s="11" t="s">
        <v>48</v>
      </c>
      <c r="AF61" s="11" t="s">
        <v>199</v>
      </c>
      <c r="AG61" s="11">
        <v>6</v>
      </c>
      <c r="AH61" s="11">
        <v>7</v>
      </c>
      <c r="AI61" s="11">
        <v>7</v>
      </c>
    </row>
    <row r="62" spans="1:35" s="11" customFormat="1" x14ac:dyDescent="0.25">
      <c r="A62" s="31" t="s">
        <v>200</v>
      </c>
      <c r="B62" s="37">
        <f t="shared" si="5"/>
        <v>35</v>
      </c>
      <c r="C62" s="11">
        <v>2</v>
      </c>
      <c r="D62" s="11" t="s">
        <v>41</v>
      </c>
      <c r="E62" s="11" t="s">
        <v>35</v>
      </c>
      <c r="G62" s="11" t="s">
        <v>56</v>
      </c>
      <c r="H62" s="11">
        <v>57</v>
      </c>
      <c r="I62" s="11">
        <v>21.6</v>
      </c>
      <c r="J62" s="11" t="s">
        <v>157</v>
      </c>
      <c r="K62" s="11" t="s">
        <v>44</v>
      </c>
      <c r="L62" s="11" t="s">
        <v>121</v>
      </c>
      <c r="M62" s="11" t="s">
        <v>121</v>
      </c>
      <c r="N62" s="11" t="s">
        <v>38</v>
      </c>
      <c r="O62" s="11" t="s">
        <v>173</v>
      </c>
      <c r="P62" s="11">
        <v>120</v>
      </c>
      <c r="Q62" s="28">
        <v>31083</v>
      </c>
      <c r="R62" s="28">
        <v>44166</v>
      </c>
      <c r="S62" s="37">
        <f t="shared" si="6"/>
        <v>44166</v>
      </c>
      <c r="T62" s="11">
        <v>85.7</v>
      </c>
      <c r="U62" s="11">
        <v>170.9</v>
      </c>
      <c r="V62" s="11">
        <f>Table1[[#This Row],[Weight]]/((Table1[[#This Row],[Height]]/100)^2)</f>
        <v>29.342471841327416</v>
      </c>
      <c r="W62" s="11">
        <v>2</v>
      </c>
      <c r="X62" s="11" t="s">
        <v>50</v>
      </c>
      <c r="Y62" s="38">
        <f>(4*60+4*60+2*60)/60</f>
        <v>10</v>
      </c>
      <c r="Z62" s="38">
        <f>Table1[[#This Row],[Total hours exercise per week]]*60</f>
        <v>600</v>
      </c>
      <c r="AA62" s="11" t="s">
        <v>201</v>
      </c>
      <c r="AB62" s="11">
        <v>6</v>
      </c>
      <c r="AC62" s="11">
        <f>(2*45)/60</f>
        <v>1.5</v>
      </c>
      <c r="AD62" s="11" t="s">
        <v>202</v>
      </c>
      <c r="AE62" s="11" t="s">
        <v>61</v>
      </c>
      <c r="AF62" s="11" t="s">
        <v>203</v>
      </c>
      <c r="AG62" s="11">
        <v>24</v>
      </c>
      <c r="AH62" s="11">
        <v>7</v>
      </c>
      <c r="AI62" s="11">
        <v>7</v>
      </c>
    </row>
    <row r="63" spans="1:35" s="11" customFormat="1" x14ac:dyDescent="0.25">
      <c r="A63" s="71" t="s">
        <v>204</v>
      </c>
      <c r="B63" s="72">
        <f t="shared" si="5"/>
        <v>26</v>
      </c>
      <c r="C63" s="66">
        <v>1</v>
      </c>
      <c r="D63" s="66" t="s">
        <v>35</v>
      </c>
      <c r="E63" s="66" t="s">
        <v>35</v>
      </c>
      <c r="F63" s="67" t="s">
        <v>38</v>
      </c>
      <c r="G63" s="66" t="s">
        <v>56</v>
      </c>
      <c r="H63" s="68">
        <v>74</v>
      </c>
      <c r="I63" s="68">
        <v>11</v>
      </c>
      <c r="J63" s="67" t="s">
        <v>157</v>
      </c>
      <c r="K63" s="11" t="s">
        <v>44</v>
      </c>
      <c r="L63" s="11" t="s">
        <v>121</v>
      </c>
      <c r="M63" s="11" t="s">
        <v>43</v>
      </c>
      <c r="N63" s="11" t="s">
        <v>38</v>
      </c>
      <c r="O63" s="11" t="s">
        <v>35</v>
      </c>
      <c r="P63" s="11">
        <v>6</v>
      </c>
      <c r="Q63" s="28">
        <v>34619</v>
      </c>
      <c r="R63" s="28">
        <v>44183</v>
      </c>
      <c r="S63" s="37">
        <f t="shared" si="6"/>
        <v>44183</v>
      </c>
      <c r="T63" s="11">
        <v>77.3</v>
      </c>
      <c r="U63" s="11">
        <v>174</v>
      </c>
      <c r="V63" s="11">
        <f>Table1[[#This Row],[Weight]]/((Table1[[#This Row],[Height]]/100)^2)</f>
        <v>25.5317743427137</v>
      </c>
      <c r="W63" s="11">
        <v>3</v>
      </c>
      <c r="X63" s="11">
        <v>1</v>
      </c>
      <c r="Y63" s="38">
        <f>(45+2*30+2*90)/60</f>
        <v>4.75</v>
      </c>
      <c r="Z63" s="38">
        <f>Table1[[#This Row],[Total hours exercise per week]]*60</f>
        <v>285</v>
      </c>
      <c r="AA63" s="11" t="s">
        <v>205</v>
      </c>
      <c r="AB63" s="11">
        <v>6</v>
      </c>
      <c r="AC63" s="11">
        <v>0</v>
      </c>
      <c r="AD63" s="11" t="s">
        <v>50</v>
      </c>
      <c r="AE63" s="11" t="s">
        <v>48</v>
      </c>
      <c r="AF63" s="11" t="s">
        <v>45</v>
      </c>
      <c r="AG63" s="11">
        <v>13</v>
      </c>
      <c r="AH63" s="11">
        <v>5</v>
      </c>
      <c r="AI63" s="11">
        <v>5</v>
      </c>
    </row>
    <row r="64" spans="1:35" s="11" customFormat="1" x14ac:dyDescent="0.25">
      <c r="A64" s="71" t="s">
        <v>206</v>
      </c>
      <c r="B64" s="72">
        <f t="shared" si="5"/>
        <v>39</v>
      </c>
      <c r="C64" s="66">
        <v>1</v>
      </c>
      <c r="D64" s="66" t="s">
        <v>41</v>
      </c>
      <c r="E64" s="66" t="s">
        <v>35</v>
      </c>
      <c r="F64" s="67" t="s">
        <v>38</v>
      </c>
      <c r="G64" s="66" t="s">
        <v>56</v>
      </c>
      <c r="H64" s="66">
        <v>57.7</v>
      </c>
      <c r="I64" s="66">
        <v>26.2</v>
      </c>
      <c r="J64" s="67" t="s">
        <v>157</v>
      </c>
      <c r="K64" s="11" t="s">
        <v>44</v>
      </c>
      <c r="L64" s="11" t="s">
        <v>121</v>
      </c>
      <c r="M64" s="11" t="s">
        <v>121</v>
      </c>
      <c r="N64" s="11" t="s">
        <v>38</v>
      </c>
      <c r="O64" s="11" t="s">
        <v>41</v>
      </c>
      <c r="P64" s="11">
        <v>12</v>
      </c>
      <c r="Q64" s="28">
        <v>29671</v>
      </c>
      <c r="R64" s="28">
        <v>44186</v>
      </c>
      <c r="S64" s="37">
        <f t="shared" si="6"/>
        <v>44186</v>
      </c>
      <c r="T64" s="11">
        <v>62.3</v>
      </c>
      <c r="U64" s="11">
        <v>166.2</v>
      </c>
      <c r="V64" s="11">
        <f>Table1[[#This Row],[Weight]]/((Table1[[#This Row],[Height]]/100)^2)</f>
        <v>22.55412628283381</v>
      </c>
      <c r="W64" s="11">
        <v>1</v>
      </c>
      <c r="X64" s="11">
        <v>3</v>
      </c>
      <c r="Y64" s="38">
        <f>(14+17)/2</f>
        <v>15.5</v>
      </c>
      <c r="Z64" s="38">
        <f>Table1[[#This Row],[Total hours exercise per week]]*60</f>
        <v>930</v>
      </c>
      <c r="AA64" s="11" t="s">
        <v>207</v>
      </c>
      <c r="AB64" s="11">
        <v>4</v>
      </c>
      <c r="AC64" s="11">
        <v>0</v>
      </c>
      <c r="AD64" s="11" t="s">
        <v>50</v>
      </c>
      <c r="AE64" s="11" t="s">
        <v>61</v>
      </c>
      <c r="AF64" s="11" t="s">
        <v>208</v>
      </c>
      <c r="AG64" s="11">
        <v>7</v>
      </c>
      <c r="AH64" s="11">
        <v>9</v>
      </c>
      <c r="AI64" s="11">
        <v>7</v>
      </c>
    </row>
    <row r="65" spans="1:35" s="11" customFormat="1" x14ac:dyDescent="0.25">
      <c r="A65" s="71" t="s">
        <v>209</v>
      </c>
      <c r="B65" s="72">
        <f t="shared" si="5"/>
        <v>32</v>
      </c>
      <c r="C65" s="66">
        <v>1</v>
      </c>
      <c r="D65" s="66" t="s">
        <v>41</v>
      </c>
      <c r="E65" s="66" t="s">
        <v>41</v>
      </c>
      <c r="F65" s="67" t="s">
        <v>38</v>
      </c>
      <c r="G65" s="66" t="s">
        <v>56</v>
      </c>
      <c r="H65" s="66">
        <v>59.9</v>
      </c>
      <c r="I65" s="66">
        <v>20.7</v>
      </c>
      <c r="J65" s="67" t="s">
        <v>157</v>
      </c>
      <c r="K65" s="11" t="s">
        <v>44</v>
      </c>
      <c r="L65" s="11" t="s">
        <v>121</v>
      </c>
      <c r="M65" s="11" t="s">
        <v>121</v>
      </c>
      <c r="N65" s="11" t="s">
        <v>38</v>
      </c>
      <c r="O65" s="11" t="s">
        <v>41</v>
      </c>
      <c r="P65" s="11">
        <v>36</v>
      </c>
      <c r="Q65" s="28">
        <v>32235</v>
      </c>
      <c r="R65" s="28">
        <v>44187</v>
      </c>
      <c r="S65" s="37">
        <f t="shared" si="6"/>
        <v>44187</v>
      </c>
      <c r="T65" s="11">
        <v>99.4</v>
      </c>
      <c r="U65" s="11">
        <v>186.2</v>
      </c>
      <c r="V65" s="11">
        <f>Table1[[#This Row],[Weight]]/((Table1[[#This Row],[Height]]/100)^2)</f>
        <v>28.669956308601801</v>
      </c>
      <c r="W65" s="11">
        <v>3</v>
      </c>
      <c r="X65" s="11">
        <v>1</v>
      </c>
      <c r="Y65" s="38">
        <f>(4*45+1*45+7*20)/60</f>
        <v>6.083333333333333</v>
      </c>
      <c r="Z65" s="38">
        <f>Table1[[#This Row],[Total hours exercise per week]]*60</f>
        <v>365</v>
      </c>
      <c r="AA65" s="11" t="s">
        <v>210</v>
      </c>
      <c r="AB65" s="11">
        <v>6</v>
      </c>
      <c r="AC65" s="11">
        <v>0</v>
      </c>
      <c r="AD65" s="11" t="s">
        <v>50</v>
      </c>
      <c r="AE65" s="11" t="s">
        <v>46</v>
      </c>
      <c r="AF65" s="11" t="s">
        <v>211</v>
      </c>
      <c r="AG65" s="11">
        <v>24</v>
      </c>
      <c r="AH65" s="11">
        <v>7</v>
      </c>
      <c r="AI65" s="11">
        <v>6</v>
      </c>
    </row>
    <row r="66" spans="1:35" s="11" customFormat="1" x14ac:dyDescent="0.25">
      <c r="A66" s="31" t="s">
        <v>212</v>
      </c>
      <c r="B66" s="37">
        <f t="shared" si="5"/>
        <v>35</v>
      </c>
      <c r="C66" s="11">
        <v>1</v>
      </c>
      <c r="D66" s="11" t="s">
        <v>35</v>
      </c>
      <c r="E66" s="11" t="s">
        <v>41</v>
      </c>
      <c r="G66" s="11" t="s">
        <v>56</v>
      </c>
      <c r="H66" s="11">
        <v>67</v>
      </c>
      <c r="I66" s="11">
        <v>29</v>
      </c>
      <c r="J66" s="11" t="s">
        <v>157</v>
      </c>
      <c r="K66" s="11" t="s">
        <v>44</v>
      </c>
      <c r="L66" s="11" t="s">
        <v>121</v>
      </c>
      <c r="M66" s="11" t="s">
        <v>43</v>
      </c>
      <c r="N66" s="11" t="s">
        <v>38</v>
      </c>
      <c r="O66" s="11" t="s">
        <v>173</v>
      </c>
      <c r="P66" s="11">
        <f>3.5*12</f>
        <v>42</v>
      </c>
      <c r="Q66" s="28">
        <v>31374</v>
      </c>
      <c r="R66" s="28">
        <v>44259</v>
      </c>
      <c r="S66" s="37">
        <f t="shared" si="6"/>
        <v>44259</v>
      </c>
      <c r="T66" s="11">
        <v>74.2</v>
      </c>
      <c r="U66" s="11">
        <v>173</v>
      </c>
      <c r="V66" s="11">
        <f>Table1[[#This Row],[Weight]]/((Table1[[#This Row],[Height]]/100)^2)</f>
        <v>24.792007751678973</v>
      </c>
      <c r="W66" s="11">
        <v>1</v>
      </c>
      <c r="X66" s="11" t="s">
        <v>50</v>
      </c>
      <c r="Y66" s="38">
        <f>(2*90+3*60+2*60)/60</f>
        <v>8</v>
      </c>
      <c r="Z66" s="38">
        <f>Table1[[#This Row],[Total hours exercise per week]]*60</f>
        <v>480</v>
      </c>
      <c r="AA66" s="11" t="s">
        <v>213</v>
      </c>
      <c r="AB66" s="11">
        <v>6</v>
      </c>
      <c r="AC66" s="11">
        <f>(3*90)/60</f>
        <v>4.5</v>
      </c>
      <c r="AD66" s="11" t="s">
        <v>114</v>
      </c>
      <c r="AE66" s="11" t="s">
        <v>54</v>
      </c>
      <c r="AF66" s="11" t="s">
        <v>214</v>
      </c>
      <c r="AG66" s="11">
        <v>8</v>
      </c>
      <c r="AH66" s="11">
        <v>8</v>
      </c>
      <c r="AI66" s="11">
        <v>8</v>
      </c>
    </row>
    <row r="67" spans="1:35" s="11" customFormat="1" ht="15.75" customHeight="1" x14ac:dyDescent="0.25">
      <c r="A67" s="31" t="s">
        <v>215</v>
      </c>
      <c r="B67" s="37">
        <v>25</v>
      </c>
      <c r="C67" s="11">
        <v>2</v>
      </c>
      <c r="D67" s="11" t="s">
        <v>41</v>
      </c>
      <c r="E67" s="11" t="s">
        <v>35</v>
      </c>
      <c r="F67" s="70"/>
      <c r="G67" s="70" t="s">
        <v>56</v>
      </c>
      <c r="H67" s="70">
        <v>59.9</v>
      </c>
      <c r="I67" s="70">
        <v>22.6</v>
      </c>
      <c r="J67" s="70" t="s">
        <v>157</v>
      </c>
      <c r="K67" s="11" t="s">
        <v>44</v>
      </c>
      <c r="L67" s="11" t="s">
        <v>121</v>
      </c>
      <c r="M67" s="11" t="s">
        <v>121</v>
      </c>
      <c r="N67" s="11" t="s">
        <v>38</v>
      </c>
      <c r="O67" s="11" t="s">
        <v>41</v>
      </c>
      <c r="P67" s="11">
        <v>72</v>
      </c>
      <c r="Q67" s="28">
        <v>35066</v>
      </c>
      <c r="R67" s="28">
        <v>44292</v>
      </c>
      <c r="S67" s="37">
        <v>44351</v>
      </c>
      <c r="T67" s="11">
        <v>78.900000000000006</v>
      </c>
      <c r="U67" s="11">
        <v>182.5</v>
      </c>
      <c r="V67" s="11">
        <f>Table1[[#This Row],[Weight]]/((Table1[[#This Row],[Height]]/100)^2)</f>
        <v>23.689247513604805</v>
      </c>
      <c r="W67" s="11">
        <v>3</v>
      </c>
      <c r="X67" s="11" t="s">
        <v>216</v>
      </c>
      <c r="Y67" s="38">
        <f>1.5+0.16+0.25+0.75</f>
        <v>2.66</v>
      </c>
      <c r="Z67" s="38">
        <f>Table1[[#This Row],[Total hours exercise per week]]*60</f>
        <v>159.60000000000002</v>
      </c>
      <c r="AA67" s="11" t="s">
        <v>217</v>
      </c>
      <c r="AB67" s="11" t="s">
        <v>218</v>
      </c>
      <c r="AC67" s="11">
        <v>0</v>
      </c>
      <c r="AD67" s="11" t="s">
        <v>50</v>
      </c>
      <c r="AE67" s="11" t="s">
        <v>61</v>
      </c>
      <c r="AF67" s="11" t="s">
        <v>219</v>
      </c>
      <c r="AG67" s="11">
        <v>11</v>
      </c>
      <c r="AH67" s="11">
        <v>9</v>
      </c>
      <c r="AI67" s="11">
        <v>6</v>
      </c>
    </row>
    <row r="68" spans="1:35" x14ac:dyDescent="0.25">
      <c r="A68" s="1"/>
      <c r="B68" s="36"/>
      <c r="Q68" s="63"/>
      <c r="R68" s="63"/>
      <c r="S68" s="36"/>
      <c r="V68" t="e">
        <f>Table1[[#This Row],[Weight]]/((Table1[[#This Row],[Height]]/100)^2)</f>
        <v>#DIV/0!</v>
      </c>
      <c r="Z68">
        <f>Table1[[#This Row],[Total hours exercise per week]]*60</f>
        <v>0</v>
      </c>
      <c r="AF68" s="11"/>
      <c r="AG68"/>
      <c r="AH68"/>
    </row>
    <row r="69" spans="1:35" x14ac:dyDescent="0.25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</row>
    <row r="70" spans="1:35" x14ac:dyDescent="0.25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</row>
    <row r="71" spans="1:35" x14ac:dyDescent="0.25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</row>
    <row r="72" spans="1:35" x14ac:dyDescent="0.25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</row>
    <row r="73" spans="1:35" x14ac:dyDescent="0.25">
      <c r="B73" s="36">
        <f>AVERAGE(B3,B11,B21,B23,B28,B30,B36,B45,B63,B64,B65,B67)</f>
        <v>26.833333333333332</v>
      </c>
      <c r="D73">
        <f>_xlfn.STDEV.P(B3,B11,B21,B23,B28,B30,B36,B45,B63,B64,B65,B67)</f>
        <v>5.6984403324262525</v>
      </c>
      <c r="R73" s="64"/>
      <c r="AG73"/>
      <c r="AH73"/>
    </row>
    <row r="74" spans="1:35" x14ac:dyDescent="0.25">
      <c r="R74" s="64"/>
      <c r="AG74"/>
      <c r="AH74"/>
    </row>
  </sheetData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2075C-5F56-4EF1-95BD-F5E1A85C949C}">
  <dimension ref="A1:B4"/>
  <sheetViews>
    <sheetView workbookViewId="0">
      <selection activeCell="B4" sqref="B4"/>
    </sheetView>
  </sheetViews>
  <sheetFormatPr defaultRowHeight="15" x14ac:dyDescent="0.25"/>
  <sheetData>
    <row r="1" spans="1:2" x14ac:dyDescent="0.25">
      <c r="A1">
        <v>1</v>
      </c>
      <c r="B1" t="s">
        <v>434</v>
      </c>
    </row>
    <row r="2" spans="1:2" x14ac:dyDescent="0.25">
      <c r="A2">
        <v>2</v>
      </c>
      <c r="B2" t="s">
        <v>433</v>
      </c>
    </row>
    <row r="3" spans="1:2" x14ac:dyDescent="0.25">
      <c r="A3">
        <v>3</v>
      </c>
      <c r="B3" t="s">
        <v>409</v>
      </c>
    </row>
    <row r="4" spans="1:2" x14ac:dyDescent="0.25">
      <c r="A4">
        <v>4</v>
      </c>
      <c r="B4" t="s">
        <v>435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C9CB0-5B51-495B-9318-23D7E97CB111}">
  <dimension ref="A2:J20"/>
  <sheetViews>
    <sheetView workbookViewId="0">
      <selection activeCell="F12" sqref="F12:J18"/>
    </sheetView>
  </sheetViews>
  <sheetFormatPr defaultRowHeight="15" x14ac:dyDescent="0.25"/>
  <cols>
    <col min="1" max="1" width="11.42578125" bestFit="1" customWidth="1"/>
  </cols>
  <sheetData>
    <row r="2" spans="1:10" x14ac:dyDescent="0.25">
      <c r="A2" t="s">
        <v>417</v>
      </c>
      <c r="B2" t="s">
        <v>418</v>
      </c>
      <c r="C2" t="s">
        <v>419</v>
      </c>
      <c r="D2" t="s">
        <v>420</v>
      </c>
      <c r="E2" t="s">
        <v>421</v>
      </c>
      <c r="F2" t="s">
        <v>423</v>
      </c>
      <c r="H2" s="76" t="s">
        <v>425</v>
      </c>
      <c r="I2" s="76"/>
      <c r="J2" s="76"/>
    </row>
    <row r="3" spans="1:10" x14ac:dyDescent="0.25">
      <c r="A3">
        <v>10</v>
      </c>
      <c r="B3" s="19">
        <v>3</v>
      </c>
      <c r="C3">
        <v>7</v>
      </c>
      <c r="D3">
        <v>7</v>
      </c>
      <c r="E3" t="s">
        <v>422</v>
      </c>
      <c r="F3">
        <v>1</v>
      </c>
      <c r="H3" t="s">
        <v>424</v>
      </c>
      <c r="I3">
        <v>0.1</v>
      </c>
    </row>
    <row r="4" spans="1:10" x14ac:dyDescent="0.25">
      <c r="H4" t="s">
        <v>426</v>
      </c>
      <c r="I4">
        <v>7.0000000000000007E-2</v>
      </c>
    </row>
    <row r="10" spans="1:10" x14ac:dyDescent="0.25">
      <c r="F10" s="76" t="s">
        <v>429</v>
      </c>
      <c r="G10" s="76"/>
      <c r="H10" s="76"/>
      <c r="I10" s="76"/>
      <c r="J10" s="76"/>
    </row>
    <row r="11" spans="1:10" x14ac:dyDescent="0.25">
      <c r="A11" s="77" t="s">
        <v>427</v>
      </c>
      <c r="B11" s="77"/>
      <c r="C11" s="77"/>
      <c r="D11" s="77"/>
    </row>
    <row r="12" spans="1:10" x14ac:dyDescent="0.25">
      <c r="A12" s="77"/>
      <c r="B12" s="77"/>
      <c r="C12" s="77"/>
      <c r="D12" s="77"/>
      <c r="F12" s="77" t="s">
        <v>428</v>
      </c>
      <c r="G12" s="77"/>
      <c r="H12" s="77"/>
      <c r="I12" s="77"/>
      <c r="J12" s="77"/>
    </row>
    <row r="13" spans="1:10" x14ac:dyDescent="0.25">
      <c r="A13" s="77"/>
      <c r="B13" s="77"/>
      <c r="C13" s="77"/>
      <c r="D13" s="77"/>
      <c r="F13" s="77"/>
      <c r="G13" s="77"/>
      <c r="H13" s="77"/>
      <c r="I13" s="77"/>
      <c r="J13" s="77"/>
    </row>
    <row r="14" spans="1:10" x14ac:dyDescent="0.25">
      <c r="A14" s="77"/>
      <c r="B14" s="77"/>
      <c r="C14" s="77"/>
      <c r="D14" s="77"/>
      <c r="F14" s="77"/>
      <c r="G14" s="77"/>
      <c r="H14" s="77"/>
      <c r="I14" s="77"/>
      <c r="J14" s="77"/>
    </row>
    <row r="15" spans="1:10" x14ac:dyDescent="0.25">
      <c r="A15" s="77"/>
      <c r="B15" s="77"/>
      <c r="C15" s="77"/>
      <c r="D15" s="77"/>
      <c r="F15" s="77"/>
      <c r="G15" s="77"/>
      <c r="H15" s="77"/>
      <c r="I15" s="77"/>
      <c r="J15" s="77"/>
    </row>
    <row r="16" spans="1:10" x14ac:dyDescent="0.25">
      <c r="A16" s="77"/>
      <c r="B16" s="77"/>
      <c r="C16" s="77"/>
      <c r="D16" s="77"/>
      <c r="F16" s="77"/>
      <c r="G16" s="77"/>
      <c r="H16" s="77"/>
      <c r="I16" s="77"/>
      <c r="J16" s="77"/>
    </row>
    <row r="17" spans="1:10" x14ac:dyDescent="0.25">
      <c r="A17" s="77"/>
      <c r="B17" s="77"/>
      <c r="C17" s="77"/>
      <c r="D17" s="77"/>
      <c r="F17" s="77"/>
      <c r="G17" s="77"/>
      <c r="H17" s="77"/>
      <c r="I17" s="77"/>
      <c r="J17" s="77"/>
    </row>
    <row r="18" spans="1:10" x14ac:dyDescent="0.25">
      <c r="A18" s="77"/>
      <c r="B18" s="77"/>
      <c r="C18" s="77"/>
      <c r="D18" s="77"/>
      <c r="F18" s="77"/>
      <c r="G18" s="77"/>
      <c r="H18" s="77"/>
      <c r="I18" s="77"/>
      <c r="J18" s="77"/>
    </row>
    <row r="19" spans="1:10" x14ac:dyDescent="0.25">
      <c r="A19" s="77"/>
      <c r="B19" s="77"/>
      <c r="C19" s="77"/>
      <c r="D19" s="77"/>
    </row>
    <row r="20" spans="1:10" x14ac:dyDescent="0.25">
      <c r="A20" s="77"/>
      <c r="B20" s="77"/>
      <c r="C20" s="77"/>
      <c r="D20" s="77"/>
    </row>
  </sheetData>
  <mergeCells count="4">
    <mergeCell ref="H2:J2"/>
    <mergeCell ref="A11:D20"/>
    <mergeCell ref="F12:J18"/>
    <mergeCell ref="F10:J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1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2" sqref="E2"/>
    </sheetView>
  </sheetViews>
  <sheetFormatPr defaultColWidth="8.7109375" defaultRowHeight="15" x14ac:dyDescent="0.25"/>
  <cols>
    <col min="1" max="1" width="20.140625" customWidth="1"/>
    <col min="2" max="13" width="12.5703125" bestFit="1" customWidth="1"/>
  </cols>
  <sheetData>
    <row r="1" spans="1:13" ht="15.75" customHeight="1" x14ac:dyDescent="0.25">
      <c r="A1" s="3" t="s">
        <v>375</v>
      </c>
      <c r="B1" s="4" t="s">
        <v>376</v>
      </c>
      <c r="C1" t="s">
        <v>377</v>
      </c>
      <c r="D1" t="s">
        <v>378</v>
      </c>
      <c r="E1" t="s">
        <v>379</v>
      </c>
      <c r="F1" t="s">
        <v>380</v>
      </c>
      <c r="G1" t="s">
        <v>381</v>
      </c>
      <c r="H1" t="s">
        <v>382</v>
      </c>
      <c r="I1" t="s">
        <v>383</v>
      </c>
      <c r="J1" t="s">
        <v>384</v>
      </c>
      <c r="K1" t="s">
        <v>385</v>
      </c>
      <c r="L1" t="s">
        <v>386</v>
      </c>
      <c r="M1" t="s">
        <v>387</v>
      </c>
    </row>
    <row r="2" spans="1:13" ht="15.75" customHeight="1" thickBot="1" x14ac:dyDescent="0.3">
      <c r="A2" s="3" t="s">
        <v>8</v>
      </c>
      <c r="B2" t="s">
        <v>432</v>
      </c>
      <c r="C2" t="s">
        <v>432</v>
      </c>
      <c r="D2" t="s">
        <v>432</v>
      </c>
      <c r="E2" t="s">
        <v>432</v>
      </c>
      <c r="F2" t="s">
        <v>431</v>
      </c>
      <c r="G2" t="s">
        <v>431</v>
      </c>
      <c r="H2" t="s">
        <v>431</v>
      </c>
      <c r="I2" t="s">
        <v>431</v>
      </c>
      <c r="J2" t="s">
        <v>157</v>
      </c>
      <c r="K2" t="s">
        <v>157</v>
      </c>
      <c r="L2" t="s">
        <v>157</v>
      </c>
      <c r="M2" t="s">
        <v>157</v>
      </c>
    </row>
    <row r="3" spans="1:13" ht="15.75" customHeight="1" thickBot="1" x14ac:dyDescent="0.3">
      <c r="A3" s="5" t="s">
        <v>389</v>
      </c>
      <c r="B3" s="2" t="s">
        <v>35</v>
      </c>
      <c r="C3" s="7" t="s">
        <v>41</v>
      </c>
      <c r="D3" s="2" t="s">
        <v>35</v>
      </c>
      <c r="E3" s="7" t="s">
        <v>41</v>
      </c>
      <c r="F3" s="2" t="s">
        <v>41</v>
      </c>
      <c r="G3" s="7" t="s">
        <v>41</v>
      </c>
      <c r="H3" s="2" t="s">
        <v>41</v>
      </c>
      <c r="I3" s="7" t="s">
        <v>41</v>
      </c>
      <c r="J3" t="s">
        <v>41</v>
      </c>
      <c r="K3" s="2" t="s">
        <v>35</v>
      </c>
      <c r="L3" t="s">
        <v>35</v>
      </c>
      <c r="M3" t="s">
        <v>41</v>
      </c>
    </row>
    <row r="4" spans="1:13" x14ac:dyDescent="0.25">
      <c r="A4" t="s">
        <v>390</v>
      </c>
      <c r="B4" t="s">
        <v>415</v>
      </c>
      <c r="C4" t="s">
        <v>415</v>
      </c>
      <c r="D4" t="s">
        <v>415</v>
      </c>
      <c r="E4" t="s">
        <v>415</v>
      </c>
      <c r="F4" t="s">
        <v>415</v>
      </c>
      <c r="G4" t="s">
        <v>415</v>
      </c>
      <c r="H4" t="s">
        <v>415</v>
      </c>
      <c r="I4" t="s">
        <v>415</v>
      </c>
      <c r="K4" t="s">
        <v>415</v>
      </c>
      <c r="L4" t="s">
        <v>415</v>
      </c>
      <c r="M4" t="s">
        <v>415</v>
      </c>
    </row>
    <row r="5" spans="1:13" x14ac:dyDescent="0.25">
      <c r="A5" t="s">
        <v>391</v>
      </c>
      <c r="B5" t="s">
        <v>415</v>
      </c>
      <c r="C5" t="s">
        <v>415</v>
      </c>
      <c r="D5" t="s">
        <v>415</v>
      </c>
      <c r="E5" t="s">
        <v>415</v>
      </c>
      <c r="F5" t="s">
        <v>415</v>
      </c>
      <c r="G5" t="s">
        <v>415</v>
      </c>
      <c r="H5" t="s">
        <v>415</v>
      </c>
      <c r="I5" t="s">
        <v>415</v>
      </c>
      <c r="K5" t="s">
        <v>415</v>
      </c>
      <c r="L5" t="s">
        <v>415</v>
      </c>
      <c r="M5" t="s">
        <v>415</v>
      </c>
    </row>
    <row r="6" spans="1:13" x14ac:dyDescent="0.25">
      <c r="A6" t="s">
        <v>392</v>
      </c>
      <c r="B6" t="s">
        <v>415</v>
      </c>
      <c r="C6" t="s">
        <v>415</v>
      </c>
      <c r="D6" t="s">
        <v>415</v>
      </c>
      <c r="E6" t="s">
        <v>415</v>
      </c>
      <c r="F6" t="s">
        <v>415</v>
      </c>
      <c r="G6" t="s">
        <v>415</v>
      </c>
      <c r="H6" t="s">
        <v>415</v>
      </c>
      <c r="I6" t="s">
        <v>415</v>
      </c>
      <c r="K6" t="s">
        <v>415</v>
      </c>
      <c r="L6" t="s">
        <v>415</v>
      </c>
      <c r="M6" t="s">
        <v>415</v>
      </c>
    </row>
    <row r="7" spans="1:13" x14ac:dyDescent="0.25">
      <c r="A7" t="s">
        <v>393</v>
      </c>
      <c r="B7" t="s">
        <v>415</v>
      </c>
      <c r="C7" t="s">
        <v>415</v>
      </c>
      <c r="D7" t="s">
        <v>415</v>
      </c>
      <c r="E7" t="s">
        <v>415</v>
      </c>
      <c r="F7" t="s">
        <v>415</v>
      </c>
      <c r="G7" t="s">
        <v>415</v>
      </c>
      <c r="H7" t="s">
        <v>415</v>
      </c>
      <c r="I7" t="s">
        <v>415</v>
      </c>
      <c r="K7" t="s">
        <v>415</v>
      </c>
      <c r="L7" t="s">
        <v>415</v>
      </c>
      <c r="M7" t="s">
        <v>415</v>
      </c>
    </row>
    <row r="8" spans="1:13" x14ac:dyDescent="0.25">
      <c r="A8" t="s">
        <v>394</v>
      </c>
      <c r="B8" t="s">
        <v>415</v>
      </c>
      <c r="C8" t="s">
        <v>415</v>
      </c>
      <c r="D8" t="s">
        <v>415</v>
      </c>
      <c r="E8" t="s">
        <v>415</v>
      </c>
      <c r="F8" t="s">
        <v>415</v>
      </c>
      <c r="G8" t="s">
        <v>415</v>
      </c>
      <c r="H8" t="s">
        <v>415</v>
      </c>
      <c r="I8" t="s">
        <v>415</v>
      </c>
      <c r="K8" t="s">
        <v>415</v>
      </c>
      <c r="L8" t="s">
        <v>415</v>
      </c>
      <c r="M8" t="s">
        <v>415</v>
      </c>
    </row>
    <row r="9" spans="1:13" x14ac:dyDescent="0.25">
      <c r="A9" t="s">
        <v>395</v>
      </c>
      <c r="B9" t="s">
        <v>415</v>
      </c>
      <c r="C9" t="s">
        <v>415</v>
      </c>
      <c r="D9" t="s">
        <v>415</v>
      </c>
      <c r="E9" t="s">
        <v>415</v>
      </c>
      <c r="F9" t="s">
        <v>415</v>
      </c>
      <c r="G9" t="s">
        <v>415</v>
      </c>
      <c r="H9" t="s">
        <v>415</v>
      </c>
      <c r="I9" t="s">
        <v>415</v>
      </c>
      <c r="K9" t="s">
        <v>415</v>
      </c>
      <c r="L9" t="s">
        <v>415</v>
      </c>
      <c r="M9" t="s">
        <v>415</v>
      </c>
    </row>
    <row r="10" spans="1:13" x14ac:dyDescent="0.25">
      <c r="A10" t="s">
        <v>396</v>
      </c>
      <c r="B10" t="s">
        <v>415</v>
      </c>
      <c r="C10" t="s">
        <v>415</v>
      </c>
      <c r="D10" t="s">
        <v>415</v>
      </c>
      <c r="E10" t="s">
        <v>415</v>
      </c>
      <c r="F10" t="s">
        <v>415</v>
      </c>
      <c r="G10" t="s">
        <v>415</v>
      </c>
      <c r="H10" t="s">
        <v>415</v>
      </c>
      <c r="I10" t="s">
        <v>415</v>
      </c>
      <c r="K10" t="s">
        <v>415</v>
      </c>
      <c r="L10" t="s">
        <v>415</v>
      </c>
      <c r="M10" t="s">
        <v>415</v>
      </c>
    </row>
    <row r="11" spans="1:13" x14ac:dyDescent="0.25">
      <c r="A11" t="s">
        <v>397</v>
      </c>
      <c r="B11" t="s">
        <v>415</v>
      </c>
      <c r="C11" t="s">
        <v>415</v>
      </c>
      <c r="D11" t="s">
        <v>415</v>
      </c>
      <c r="E11" t="s">
        <v>415</v>
      </c>
      <c r="F11" t="s">
        <v>415</v>
      </c>
      <c r="G11" t="s">
        <v>415</v>
      </c>
      <c r="H11" t="s">
        <v>415</v>
      </c>
      <c r="I11" t="s">
        <v>415</v>
      </c>
      <c r="K11" t="s">
        <v>415</v>
      </c>
      <c r="L11" t="s">
        <v>415</v>
      </c>
      <c r="M11" t="s">
        <v>415</v>
      </c>
    </row>
    <row r="12" spans="1:13" x14ac:dyDescent="0.25">
      <c r="A12" t="s">
        <v>398</v>
      </c>
      <c r="B12" t="s">
        <v>415</v>
      </c>
      <c r="C12" t="s">
        <v>415</v>
      </c>
      <c r="D12" t="s">
        <v>415</v>
      </c>
      <c r="E12" t="s">
        <v>415</v>
      </c>
      <c r="F12" t="s">
        <v>415</v>
      </c>
      <c r="G12" t="s">
        <v>415</v>
      </c>
      <c r="H12" t="s">
        <v>415</v>
      </c>
      <c r="I12" t="s">
        <v>415</v>
      </c>
      <c r="K12" t="s">
        <v>415</v>
      </c>
      <c r="L12" t="s">
        <v>415</v>
      </c>
      <c r="M12" t="s">
        <v>415</v>
      </c>
    </row>
    <row r="13" spans="1:13" x14ac:dyDescent="0.25">
      <c r="A13" t="s">
        <v>399</v>
      </c>
      <c r="B13" t="s">
        <v>415</v>
      </c>
      <c r="C13" t="s">
        <v>415</v>
      </c>
      <c r="D13" t="s">
        <v>415</v>
      </c>
      <c r="E13" t="s">
        <v>415</v>
      </c>
      <c r="F13" t="s">
        <v>415</v>
      </c>
      <c r="G13" t="s">
        <v>415</v>
      </c>
      <c r="H13" t="s">
        <v>415</v>
      </c>
      <c r="I13" t="s">
        <v>415</v>
      </c>
      <c r="K13" t="s">
        <v>415</v>
      </c>
      <c r="L13" t="s">
        <v>415</v>
      </c>
      <c r="M13" t="s">
        <v>415</v>
      </c>
    </row>
    <row r="14" spans="1:13" x14ac:dyDescent="0.25">
      <c r="A14" t="s">
        <v>410</v>
      </c>
      <c r="B14" t="s">
        <v>415</v>
      </c>
      <c r="C14" t="s">
        <v>415</v>
      </c>
      <c r="D14" t="s">
        <v>415</v>
      </c>
      <c r="E14" t="s">
        <v>415</v>
      </c>
      <c r="F14" t="s">
        <v>415</v>
      </c>
      <c r="G14" t="s">
        <v>415</v>
      </c>
      <c r="H14" t="s">
        <v>415</v>
      </c>
      <c r="I14" t="s">
        <v>415</v>
      </c>
      <c r="K14" t="s">
        <v>415</v>
      </c>
      <c r="L14" t="s">
        <v>415</v>
      </c>
      <c r="M14" t="s">
        <v>415</v>
      </c>
    </row>
    <row r="15" spans="1:13" x14ac:dyDescent="0.25">
      <c r="A15" t="s">
        <v>411</v>
      </c>
      <c r="B15" t="s">
        <v>415</v>
      </c>
      <c r="C15" t="s">
        <v>415</v>
      </c>
      <c r="D15" t="s">
        <v>415</v>
      </c>
      <c r="E15" t="s">
        <v>415</v>
      </c>
      <c r="F15" t="s">
        <v>415</v>
      </c>
      <c r="G15" t="s">
        <v>415</v>
      </c>
      <c r="H15" t="s">
        <v>415</v>
      </c>
      <c r="I15" t="s">
        <v>415</v>
      </c>
      <c r="K15" t="s">
        <v>415</v>
      </c>
      <c r="L15" t="s">
        <v>415</v>
      </c>
      <c r="M15" t="s">
        <v>415</v>
      </c>
    </row>
    <row r="16" spans="1:13" x14ac:dyDescent="0.25">
      <c r="A16" t="s">
        <v>412</v>
      </c>
      <c r="B16" t="s">
        <v>415</v>
      </c>
      <c r="C16" t="s">
        <v>415</v>
      </c>
      <c r="D16" t="s">
        <v>415</v>
      </c>
      <c r="E16" t="s">
        <v>415</v>
      </c>
      <c r="F16" t="s">
        <v>415</v>
      </c>
      <c r="G16" t="s">
        <v>415</v>
      </c>
      <c r="H16" t="s">
        <v>415</v>
      </c>
      <c r="I16" t="s">
        <v>415</v>
      </c>
      <c r="K16" t="s">
        <v>415</v>
      </c>
      <c r="L16" t="s">
        <v>415</v>
      </c>
      <c r="M16" t="s">
        <v>415</v>
      </c>
    </row>
    <row r="17" spans="1:13" x14ac:dyDescent="0.25">
      <c r="A17" t="s">
        <v>413</v>
      </c>
      <c r="B17" t="s">
        <v>415</v>
      </c>
      <c r="C17" t="s">
        <v>415</v>
      </c>
      <c r="D17" t="s">
        <v>415</v>
      </c>
      <c r="E17" t="s">
        <v>415</v>
      </c>
      <c r="F17" t="s">
        <v>415</v>
      </c>
      <c r="G17" t="s">
        <v>415</v>
      </c>
      <c r="H17" t="s">
        <v>415</v>
      </c>
      <c r="I17" t="s">
        <v>415</v>
      </c>
      <c r="K17" t="s">
        <v>415</v>
      </c>
      <c r="L17" t="s">
        <v>415</v>
      </c>
      <c r="M17" t="s">
        <v>415</v>
      </c>
    </row>
    <row r="18" spans="1:13" x14ac:dyDescent="0.25">
      <c r="A18" t="s">
        <v>414</v>
      </c>
      <c r="B18" t="s">
        <v>415</v>
      </c>
      <c r="C18" t="s">
        <v>415</v>
      </c>
      <c r="D18" t="s">
        <v>415</v>
      </c>
      <c r="E18" t="s">
        <v>415</v>
      </c>
      <c r="F18" t="s">
        <v>415</v>
      </c>
      <c r="G18" t="s">
        <v>415</v>
      </c>
      <c r="H18" t="s">
        <v>415</v>
      </c>
      <c r="I18" t="s">
        <v>415</v>
      </c>
      <c r="K18" t="s">
        <v>415</v>
      </c>
      <c r="L18" t="s">
        <v>415</v>
      </c>
      <c r="M18" t="s">
        <v>415</v>
      </c>
    </row>
    <row r="20" spans="1:13" x14ac:dyDescent="0.25">
      <c r="A20" t="s">
        <v>416</v>
      </c>
    </row>
    <row r="29" spans="1:13" x14ac:dyDescent="0.25">
      <c r="A29" s="6" t="s">
        <v>400</v>
      </c>
    </row>
    <row r="30" spans="1:13" x14ac:dyDescent="0.25">
      <c r="A30" s="8" t="s">
        <v>401</v>
      </c>
    </row>
    <row r="31" spans="1:13" x14ac:dyDescent="0.25">
      <c r="A31" s="9" t="s">
        <v>402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54364-EAB1-4DEC-A6E8-9FEA32BD138C}">
  <dimension ref="A1:M30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Q11" sqref="Q11"/>
    </sheetView>
  </sheetViews>
  <sheetFormatPr defaultColWidth="8.7109375" defaultRowHeight="15" x14ac:dyDescent="0.25"/>
  <cols>
    <col min="1" max="1" width="20.140625" customWidth="1"/>
    <col min="2" max="13" width="12.5703125" bestFit="1" customWidth="1"/>
  </cols>
  <sheetData>
    <row r="1" spans="1:13" ht="15.75" customHeight="1" thickBot="1" x14ac:dyDescent="0.3">
      <c r="A1" s="3" t="s">
        <v>375</v>
      </c>
      <c r="B1" s="4" t="s">
        <v>376</v>
      </c>
      <c r="C1" t="s">
        <v>377</v>
      </c>
      <c r="D1" t="s">
        <v>378</v>
      </c>
      <c r="E1" t="s">
        <v>379</v>
      </c>
      <c r="F1" t="s">
        <v>380</v>
      </c>
      <c r="G1" t="s">
        <v>381</v>
      </c>
      <c r="H1" t="s">
        <v>382</v>
      </c>
      <c r="I1" t="s">
        <v>383</v>
      </c>
      <c r="J1" t="s">
        <v>385</v>
      </c>
      <c r="K1" t="s">
        <v>386</v>
      </c>
      <c r="L1" t="s">
        <v>387</v>
      </c>
      <c r="M1" t="s">
        <v>388</v>
      </c>
    </row>
    <row r="2" spans="1:13" ht="15.75" customHeight="1" thickBot="1" x14ac:dyDescent="0.3">
      <c r="A2" s="5" t="s">
        <v>389</v>
      </c>
      <c r="B2" s="2" t="s">
        <v>35</v>
      </c>
      <c r="C2" s="7" t="s">
        <v>41</v>
      </c>
      <c r="D2" s="2" t="s">
        <v>35</v>
      </c>
      <c r="E2" s="7" t="s">
        <v>41</v>
      </c>
      <c r="F2" s="2" t="s">
        <v>41</v>
      </c>
      <c r="G2" s="7" t="s">
        <v>41</v>
      </c>
      <c r="H2" s="2" t="s">
        <v>41</v>
      </c>
      <c r="I2" s="7" t="s">
        <v>41</v>
      </c>
      <c r="J2" s="2" t="s">
        <v>35</v>
      </c>
      <c r="K2" t="s">
        <v>35</v>
      </c>
      <c r="L2" t="s">
        <v>41</v>
      </c>
      <c r="M2" t="s">
        <v>41</v>
      </c>
    </row>
    <row r="3" spans="1:13" x14ac:dyDescent="0.25">
      <c r="A3" t="s">
        <v>390</v>
      </c>
    </row>
    <row r="4" spans="1:13" x14ac:dyDescent="0.25">
      <c r="A4" t="s">
        <v>391</v>
      </c>
    </row>
    <row r="5" spans="1:13" x14ac:dyDescent="0.25">
      <c r="A5" t="s">
        <v>392</v>
      </c>
    </row>
    <row r="6" spans="1:13" x14ac:dyDescent="0.25">
      <c r="A6" t="s">
        <v>393</v>
      </c>
    </row>
    <row r="7" spans="1:13" x14ac:dyDescent="0.25">
      <c r="A7" t="s">
        <v>394</v>
      </c>
    </row>
    <row r="8" spans="1:13" x14ac:dyDescent="0.25">
      <c r="A8" t="s">
        <v>395</v>
      </c>
      <c r="B8" t="s">
        <v>430</v>
      </c>
    </row>
    <row r="9" spans="1:13" x14ac:dyDescent="0.25">
      <c r="A9" t="s">
        <v>396</v>
      </c>
      <c r="B9" t="s">
        <v>436</v>
      </c>
    </row>
    <row r="10" spans="1:13" x14ac:dyDescent="0.25">
      <c r="A10" t="s">
        <v>397</v>
      </c>
    </row>
    <row r="11" spans="1:13" x14ac:dyDescent="0.25">
      <c r="A11" t="s">
        <v>398</v>
      </c>
    </row>
    <row r="12" spans="1:13" x14ac:dyDescent="0.25">
      <c r="A12" t="s">
        <v>399</v>
      </c>
    </row>
    <row r="13" spans="1:13" x14ac:dyDescent="0.25">
      <c r="A13" t="s">
        <v>410</v>
      </c>
    </row>
    <row r="14" spans="1:13" x14ac:dyDescent="0.25">
      <c r="A14" t="s">
        <v>411</v>
      </c>
    </row>
    <row r="15" spans="1:13" x14ac:dyDescent="0.25">
      <c r="A15" t="s">
        <v>412</v>
      </c>
    </row>
    <row r="16" spans="1:13" x14ac:dyDescent="0.25">
      <c r="A16" t="s">
        <v>413</v>
      </c>
    </row>
    <row r="17" spans="1:1" x14ac:dyDescent="0.25">
      <c r="A17" t="s">
        <v>414</v>
      </c>
    </row>
    <row r="19" spans="1:1" x14ac:dyDescent="0.25">
      <c r="A19" t="s">
        <v>416</v>
      </c>
    </row>
    <row r="28" spans="1:1" x14ac:dyDescent="0.25">
      <c r="A28" s="6" t="s">
        <v>400</v>
      </c>
    </row>
    <row r="29" spans="1:1" x14ac:dyDescent="0.25">
      <c r="A29" s="8" t="s">
        <v>401</v>
      </c>
    </row>
    <row r="30" spans="1:1" x14ac:dyDescent="0.25">
      <c r="A30" s="9" t="s">
        <v>402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3"/>
  <sheetViews>
    <sheetView zoomScale="85" zoomScaleNormal="85" workbookViewId="0">
      <selection activeCell="P16" sqref="P16"/>
    </sheetView>
  </sheetViews>
  <sheetFormatPr defaultColWidth="8.7109375" defaultRowHeight="15" x14ac:dyDescent="0.25"/>
  <cols>
    <col min="1" max="15" width="14.28515625" customWidth="1"/>
  </cols>
  <sheetData>
    <row r="1" spans="1:15" s="13" customFormat="1" ht="57" customHeight="1" x14ac:dyDescent="0.25">
      <c r="A1" s="13" t="s">
        <v>0</v>
      </c>
      <c r="B1" s="13" t="s">
        <v>221</v>
      </c>
      <c r="C1" s="13" t="s">
        <v>222</v>
      </c>
      <c r="D1" s="13" t="s">
        <v>223</v>
      </c>
      <c r="E1" s="23" t="s">
        <v>224</v>
      </c>
      <c r="F1" s="23" t="s">
        <v>225</v>
      </c>
      <c r="G1" s="23" t="s">
        <v>226</v>
      </c>
      <c r="H1" s="23" t="s">
        <v>227</v>
      </c>
      <c r="I1" s="23" t="s">
        <v>228</v>
      </c>
      <c r="J1" s="23" t="s">
        <v>229</v>
      </c>
      <c r="K1" s="23" t="s">
        <v>230</v>
      </c>
      <c r="L1" s="23" t="s">
        <v>231</v>
      </c>
      <c r="M1" s="23" t="s">
        <v>232</v>
      </c>
      <c r="N1" s="23" t="s">
        <v>233</v>
      </c>
      <c r="O1" s="23" t="s">
        <v>234</v>
      </c>
    </row>
    <row r="2" spans="1:15" s="13" customFormat="1" x14ac:dyDescent="0.25">
      <c r="A2" s="18" t="s">
        <v>204</v>
      </c>
      <c r="B2" s="13">
        <v>1</v>
      </c>
      <c r="C2" s="13">
        <v>2</v>
      </c>
      <c r="D2" s="13">
        <v>2</v>
      </c>
      <c r="E2" s="23">
        <v>1</v>
      </c>
      <c r="F2" s="23">
        <v>1</v>
      </c>
      <c r="G2" s="23">
        <v>1</v>
      </c>
      <c r="H2" s="23">
        <v>1</v>
      </c>
      <c r="I2" s="23">
        <v>1</v>
      </c>
      <c r="J2" s="23">
        <v>1</v>
      </c>
      <c r="K2" s="23">
        <v>1</v>
      </c>
      <c r="L2" s="23">
        <v>1</v>
      </c>
      <c r="M2" s="23">
        <v>1</v>
      </c>
      <c r="N2" s="23">
        <v>1</v>
      </c>
      <c r="O2" s="23">
        <v>1</v>
      </c>
    </row>
    <row r="3" spans="1:15" x14ac:dyDescent="0.25">
      <c r="A3" s="19" t="s">
        <v>206</v>
      </c>
      <c r="B3">
        <v>1</v>
      </c>
      <c r="C3">
        <v>2</v>
      </c>
      <c r="D3">
        <v>2</v>
      </c>
      <c r="E3">
        <v>1</v>
      </c>
      <c r="F3">
        <v>1</v>
      </c>
      <c r="G3">
        <v>2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 x14ac:dyDescent="0.25">
      <c r="A4" s="19" t="s">
        <v>209</v>
      </c>
      <c r="B4">
        <v>2</v>
      </c>
      <c r="C4">
        <v>2</v>
      </c>
      <c r="D4">
        <v>2</v>
      </c>
      <c r="E4">
        <v>2</v>
      </c>
      <c r="F4">
        <v>3</v>
      </c>
      <c r="G4">
        <v>2</v>
      </c>
      <c r="H4">
        <v>3</v>
      </c>
      <c r="I4">
        <v>2</v>
      </c>
      <c r="J4">
        <v>1</v>
      </c>
      <c r="K4">
        <v>2</v>
      </c>
      <c r="L4">
        <v>2</v>
      </c>
      <c r="M4">
        <v>1</v>
      </c>
      <c r="N4">
        <v>2</v>
      </c>
      <c r="O4">
        <v>1</v>
      </c>
    </row>
    <row r="5" spans="1:15" x14ac:dyDescent="0.25">
      <c r="A5" s="19" t="s">
        <v>200</v>
      </c>
      <c r="B5">
        <v>2</v>
      </c>
      <c r="C5">
        <v>2</v>
      </c>
      <c r="D5">
        <v>2</v>
      </c>
      <c r="E5">
        <v>2</v>
      </c>
      <c r="F5">
        <v>3</v>
      </c>
      <c r="G5">
        <v>2</v>
      </c>
      <c r="H5">
        <v>2</v>
      </c>
      <c r="I5">
        <v>2</v>
      </c>
      <c r="J5">
        <v>1</v>
      </c>
      <c r="K5">
        <v>2</v>
      </c>
      <c r="L5">
        <v>2</v>
      </c>
      <c r="M5">
        <v>1</v>
      </c>
      <c r="N5">
        <v>1</v>
      </c>
      <c r="O5">
        <v>1</v>
      </c>
    </row>
    <row r="6" spans="1:15" x14ac:dyDescent="0.25">
      <c r="A6" s="19" t="s">
        <v>197</v>
      </c>
      <c r="B6">
        <v>2</v>
      </c>
      <c r="C6">
        <v>2</v>
      </c>
      <c r="D6">
        <v>2</v>
      </c>
      <c r="E6">
        <v>2</v>
      </c>
      <c r="F6">
        <v>1</v>
      </c>
      <c r="G6">
        <v>2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 x14ac:dyDescent="0.25">
      <c r="A7" s="19" t="s">
        <v>194</v>
      </c>
      <c r="B7">
        <v>2</v>
      </c>
      <c r="C7">
        <v>2</v>
      </c>
      <c r="D7">
        <v>2</v>
      </c>
      <c r="E7">
        <v>3</v>
      </c>
      <c r="F7">
        <v>1</v>
      </c>
      <c r="G7">
        <v>2</v>
      </c>
      <c r="H7">
        <v>3</v>
      </c>
      <c r="I7">
        <v>3</v>
      </c>
      <c r="J7">
        <v>3</v>
      </c>
      <c r="K7">
        <v>1</v>
      </c>
      <c r="L7">
        <v>1</v>
      </c>
      <c r="M7">
        <v>1</v>
      </c>
      <c r="N7">
        <v>2</v>
      </c>
      <c r="O7">
        <v>1</v>
      </c>
    </row>
    <row r="8" spans="1:15" x14ac:dyDescent="0.25">
      <c r="A8" s="19" t="s">
        <v>190</v>
      </c>
      <c r="B8">
        <v>1</v>
      </c>
      <c r="C8">
        <v>2</v>
      </c>
      <c r="D8">
        <v>2</v>
      </c>
      <c r="E8">
        <v>2</v>
      </c>
      <c r="F8">
        <v>2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 x14ac:dyDescent="0.25">
      <c r="A9" s="19" t="s">
        <v>187</v>
      </c>
      <c r="B9">
        <v>2</v>
      </c>
      <c r="C9">
        <v>2</v>
      </c>
      <c r="D9">
        <v>2</v>
      </c>
      <c r="E9">
        <v>2</v>
      </c>
      <c r="F9">
        <v>1</v>
      </c>
      <c r="G9">
        <v>2</v>
      </c>
      <c r="H9">
        <v>3</v>
      </c>
      <c r="I9">
        <v>1</v>
      </c>
      <c r="J9">
        <v>1</v>
      </c>
      <c r="K9">
        <v>1</v>
      </c>
      <c r="L9">
        <v>2</v>
      </c>
      <c r="M9">
        <v>1</v>
      </c>
      <c r="N9">
        <v>1</v>
      </c>
      <c r="O9">
        <v>1</v>
      </c>
    </row>
    <row r="10" spans="1:15" x14ac:dyDescent="0.25">
      <c r="A10" s="19" t="s">
        <v>177</v>
      </c>
      <c r="B10">
        <v>1</v>
      </c>
      <c r="C10">
        <v>3</v>
      </c>
      <c r="D10">
        <v>1</v>
      </c>
      <c r="E10">
        <v>1</v>
      </c>
      <c r="F10">
        <v>1</v>
      </c>
      <c r="G10">
        <v>2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 x14ac:dyDescent="0.25">
      <c r="A11" s="19" t="s">
        <v>174</v>
      </c>
      <c r="B11">
        <v>2</v>
      </c>
      <c r="C11">
        <v>2</v>
      </c>
      <c r="D11">
        <v>2</v>
      </c>
      <c r="E11">
        <v>3</v>
      </c>
      <c r="F11">
        <v>1</v>
      </c>
      <c r="G11">
        <v>3</v>
      </c>
      <c r="H11">
        <v>1</v>
      </c>
      <c r="I11">
        <v>1</v>
      </c>
      <c r="J11">
        <v>1</v>
      </c>
      <c r="K11">
        <v>3</v>
      </c>
      <c r="L11">
        <v>1</v>
      </c>
      <c r="M11">
        <v>1</v>
      </c>
      <c r="N11">
        <v>1</v>
      </c>
      <c r="O11">
        <v>1</v>
      </c>
    </row>
    <row r="12" spans="1:15" x14ac:dyDescent="0.25">
      <c r="A12" s="19" t="s">
        <v>169</v>
      </c>
      <c r="B12">
        <v>2</v>
      </c>
      <c r="C12">
        <v>2</v>
      </c>
      <c r="D12">
        <v>2</v>
      </c>
      <c r="E12">
        <v>2</v>
      </c>
      <c r="F12" s="22">
        <v>2</v>
      </c>
      <c r="G12">
        <v>2</v>
      </c>
      <c r="H12">
        <v>3</v>
      </c>
      <c r="I12">
        <v>2</v>
      </c>
      <c r="J12">
        <v>1</v>
      </c>
      <c r="K12">
        <v>1</v>
      </c>
      <c r="L12">
        <v>1</v>
      </c>
      <c r="M12">
        <v>1</v>
      </c>
      <c r="N12">
        <v>2</v>
      </c>
      <c r="O12">
        <v>1</v>
      </c>
    </row>
    <row r="13" spans="1:15" x14ac:dyDescent="0.25">
      <c r="A13" s="19" t="s">
        <v>162</v>
      </c>
      <c r="B13">
        <v>3</v>
      </c>
      <c r="C13">
        <v>3</v>
      </c>
      <c r="D13">
        <v>2</v>
      </c>
      <c r="E13">
        <v>1</v>
      </c>
      <c r="F13" s="22">
        <v>1</v>
      </c>
      <c r="G13">
        <v>1</v>
      </c>
      <c r="H13">
        <v>1</v>
      </c>
      <c r="I13">
        <v>1</v>
      </c>
      <c r="J13">
        <v>1</v>
      </c>
      <c r="K13">
        <v>3</v>
      </c>
      <c r="L13">
        <v>1</v>
      </c>
      <c r="M13">
        <v>1</v>
      </c>
      <c r="N13">
        <v>1</v>
      </c>
      <c r="O13">
        <v>1</v>
      </c>
    </row>
    <row r="14" spans="1:15" x14ac:dyDescent="0.25">
      <c r="A14" s="19" t="s">
        <v>156</v>
      </c>
      <c r="B14">
        <v>2</v>
      </c>
      <c r="C14">
        <v>2</v>
      </c>
      <c r="D14">
        <v>2</v>
      </c>
      <c r="E14">
        <v>3</v>
      </c>
      <c r="F14" s="22">
        <v>3</v>
      </c>
      <c r="G14">
        <v>2</v>
      </c>
      <c r="H14">
        <v>3</v>
      </c>
      <c r="I14">
        <v>3</v>
      </c>
      <c r="J14">
        <v>1</v>
      </c>
      <c r="K14">
        <v>3</v>
      </c>
      <c r="L14">
        <v>3</v>
      </c>
      <c r="M14">
        <v>3</v>
      </c>
      <c r="N14">
        <v>3</v>
      </c>
      <c r="O14">
        <v>1</v>
      </c>
    </row>
    <row r="15" spans="1:15" x14ac:dyDescent="0.25">
      <c r="A15" s="19" t="s">
        <v>212</v>
      </c>
      <c r="B15">
        <v>1</v>
      </c>
      <c r="C15">
        <v>2</v>
      </c>
      <c r="D15">
        <v>2</v>
      </c>
      <c r="E15">
        <v>1</v>
      </c>
      <c r="F15" s="22">
        <v>1</v>
      </c>
      <c r="G15">
        <v>3</v>
      </c>
      <c r="H15">
        <v>3</v>
      </c>
      <c r="I15">
        <v>1</v>
      </c>
      <c r="J15">
        <v>1</v>
      </c>
      <c r="K15">
        <v>3</v>
      </c>
      <c r="L15">
        <v>1</v>
      </c>
      <c r="M15">
        <v>3</v>
      </c>
      <c r="N15">
        <v>1</v>
      </c>
      <c r="O15">
        <v>1</v>
      </c>
    </row>
    <row r="16" spans="1:15" x14ac:dyDescent="0.25">
      <c r="A16" s="19" t="s">
        <v>215</v>
      </c>
      <c r="B16">
        <v>3</v>
      </c>
      <c r="C16">
        <v>2</v>
      </c>
      <c r="D16">
        <v>2</v>
      </c>
      <c r="E16">
        <v>1</v>
      </c>
      <c r="F16" s="22">
        <v>2</v>
      </c>
      <c r="G16">
        <v>2</v>
      </c>
      <c r="H16">
        <v>2</v>
      </c>
      <c r="I16">
        <v>1</v>
      </c>
      <c r="J16">
        <v>1</v>
      </c>
      <c r="K16">
        <v>3</v>
      </c>
      <c r="L16">
        <v>1</v>
      </c>
      <c r="M16">
        <v>1</v>
      </c>
      <c r="N16">
        <v>3</v>
      </c>
      <c r="O16">
        <v>1</v>
      </c>
    </row>
    <row r="17" spans="1:6" x14ac:dyDescent="0.25">
      <c r="A17" s="19"/>
      <c r="F17" s="22"/>
    </row>
    <row r="18" spans="1:6" x14ac:dyDescent="0.25">
      <c r="A18" s="19"/>
      <c r="F18" s="22"/>
    </row>
    <row r="19" spans="1:6" x14ac:dyDescent="0.25">
      <c r="A19" s="19"/>
      <c r="F19" s="22"/>
    </row>
    <row r="20" spans="1:6" x14ac:dyDescent="0.25">
      <c r="A20" s="19"/>
      <c r="F20" s="22"/>
    </row>
    <row r="21" spans="1:6" x14ac:dyDescent="0.25">
      <c r="A21" s="19"/>
      <c r="F21" s="22"/>
    </row>
    <row r="22" spans="1:6" x14ac:dyDescent="0.25">
      <c r="A22" s="19"/>
      <c r="F22" s="22"/>
    </row>
    <row r="23" spans="1:6" x14ac:dyDescent="0.25">
      <c r="A23" s="19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23"/>
  <sheetViews>
    <sheetView topLeftCell="V1" zoomScale="70" zoomScaleNormal="70" workbookViewId="0">
      <selection activeCell="AI3" sqref="AI3"/>
    </sheetView>
  </sheetViews>
  <sheetFormatPr defaultColWidth="14.42578125" defaultRowHeight="15" x14ac:dyDescent="0.25"/>
  <cols>
    <col min="1" max="16" width="25.42578125" style="11" customWidth="1"/>
    <col min="17" max="17" width="25.42578125" style="14" customWidth="1"/>
    <col min="18" max="22" width="25.42578125" style="11" customWidth="1"/>
    <col min="23" max="23" width="25.42578125" style="14" customWidth="1"/>
    <col min="24" max="26" width="25.42578125" style="11" customWidth="1"/>
    <col min="27" max="27" width="25.42578125" style="14" customWidth="1"/>
    <col min="28" max="34" width="25.42578125" style="11" customWidth="1"/>
    <col min="35" max="35" width="14.42578125" style="11" customWidth="1"/>
    <col min="36" max="16384" width="14.42578125" style="11"/>
  </cols>
  <sheetData>
    <row r="1" spans="1:36" ht="18" customHeight="1" x14ac:dyDescent="0.25">
      <c r="B1" s="12" t="s">
        <v>235</v>
      </c>
      <c r="R1" s="10" t="s">
        <v>236</v>
      </c>
      <c r="X1" s="10" t="s">
        <v>237</v>
      </c>
      <c r="AB1" s="16" t="s">
        <v>238</v>
      </c>
    </row>
    <row r="2" spans="1:36" s="13" customFormat="1" ht="90" customHeight="1" x14ac:dyDescent="0.25">
      <c r="A2" s="13" t="s">
        <v>0</v>
      </c>
      <c r="B2" s="13" t="s">
        <v>239</v>
      </c>
      <c r="C2" s="13" t="s">
        <v>240</v>
      </c>
      <c r="D2" s="13" t="s">
        <v>241</v>
      </c>
      <c r="E2" s="13" t="s">
        <v>242</v>
      </c>
      <c r="F2" s="13" t="s">
        <v>243</v>
      </c>
      <c r="G2" s="13" t="s">
        <v>244</v>
      </c>
      <c r="H2" s="13" t="s">
        <v>245</v>
      </c>
      <c r="I2" s="13" t="s">
        <v>246</v>
      </c>
      <c r="J2" s="13" t="s">
        <v>247</v>
      </c>
      <c r="K2" s="13" t="s">
        <v>248</v>
      </c>
      <c r="L2" s="13" t="s">
        <v>249</v>
      </c>
      <c r="M2" s="13" t="s">
        <v>250</v>
      </c>
      <c r="N2" s="13" t="s">
        <v>251</v>
      </c>
      <c r="O2" s="13" t="s">
        <v>252</v>
      </c>
      <c r="P2" s="13" t="s">
        <v>253</v>
      </c>
      <c r="Q2" s="15" t="s">
        <v>254</v>
      </c>
      <c r="R2" s="13" t="s">
        <v>255</v>
      </c>
      <c r="S2" s="13" t="s">
        <v>256</v>
      </c>
      <c r="T2" s="13" t="s">
        <v>257</v>
      </c>
      <c r="U2" s="13" t="s">
        <v>258</v>
      </c>
      <c r="V2" s="13" t="s">
        <v>259</v>
      </c>
      <c r="W2" s="15" t="s">
        <v>260</v>
      </c>
      <c r="X2" s="13" t="s">
        <v>261</v>
      </c>
      <c r="Y2" s="13" t="s">
        <v>262</v>
      </c>
      <c r="Z2" s="13" t="s">
        <v>263</v>
      </c>
      <c r="AA2" s="15" t="s">
        <v>264</v>
      </c>
      <c r="AB2" s="13" t="s">
        <v>265</v>
      </c>
      <c r="AC2" s="13" t="s">
        <v>266</v>
      </c>
      <c r="AD2" s="13" t="s">
        <v>267</v>
      </c>
      <c r="AE2" s="13" t="s">
        <v>268</v>
      </c>
      <c r="AF2" s="13" t="s">
        <v>269</v>
      </c>
      <c r="AG2" s="13" t="s">
        <v>270</v>
      </c>
      <c r="AH2" s="13" t="s">
        <v>271</v>
      </c>
      <c r="AI2" s="13" t="s">
        <v>272</v>
      </c>
      <c r="AJ2" s="13" t="s">
        <v>273</v>
      </c>
    </row>
    <row r="3" spans="1:36" x14ac:dyDescent="0.25">
      <c r="A3" s="44" t="s">
        <v>156</v>
      </c>
      <c r="B3" s="11">
        <v>60</v>
      </c>
      <c r="C3" s="11">
        <v>32</v>
      </c>
      <c r="D3" s="11">
        <v>42</v>
      </c>
      <c r="E3" s="11">
        <v>68</v>
      </c>
      <c r="F3" s="11">
        <v>32</v>
      </c>
      <c r="G3" s="11">
        <v>67</v>
      </c>
      <c r="H3" s="11">
        <v>49</v>
      </c>
      <c r="I3" s="11">
        <v>51</v>
      </c>
      <c r="J3" s="11">
        <v>72</v>
      </c>
      <c r="K3" s="11">
        <v>77</v>
      </c>
      <c r="L3" s="11">
        <v>79</v>
      </c>
      <c r="M3" s="11">
        <v>76</v>
      </c>
      <c r="N3" s="11">
        <v>75</v>
      </c>
      <c r="O3" s="11">
        <v>44</v>
      </c>
      <c r="P3" s="11">
        <v>100</v>
      </c>
      <c r="Q3" s="11">
        <v>65</v>
      </c>
      <c r="R3" s="11">
        <v>11</v>
      </c>
      <c r="S3" s="11">
        <v>81</v>
      </c>
      <c r="T3" s="11">
        <v>17</v>
      </c>
      <c r="U3" s="11">
        <v>0</v>
      </c>
      <c r="V3" s="11">
        <v>14</v>
      </c>
      <c r="W3" s="11">
        <v>13</v>
      </c>
      <c r="X3" s="11">
        <v>83</v>
      </c>
      <c r="Y3" s="11">
        <v>67</v>
      </c>
      <c r="Z3" s="11">
        <v>0</v>
      </c>
      <c r="AA3" s="11">
        <v>57</v>
      </c>
      <c r="AB3" s="11">
        <v>0</v>
      </c>
      <c r="AC3" s="11">
        <v>88</v>
      </c>
      <c r="AD3" s="11">
        <v>9</v>
      </c>
      <c r="AE3" s="11">
        <v>50</v>
      </c>
      <c r="AF3" s="11">
        <v>50</v>
      </c>
      <c r="AG3" s="11">
        <v>84</v>
      </c>
      <c r="AH3" s="11">
        <v>45</v>
      </c>
      <c r="AI3" s="37">
        <f>SUM(Table7[[#This Row],[Q01 How often does your hip/groin ache?]:[Q33 How much of the time are you aware of the disability in your hip?]])/AJ3</f>
        <v>50.242424242424242</v>
      </c>
      <c r="AJ3" s="11">
        <f>COUNTA(B3:AH3)</f>
        <v>33</v>
      </c>
    </row>
    <row r="4" spans="1:36" x14ac:dyDescent="0.25">
      <c r="A4" s="44" t="s">
        <v>162</v>
      </c>
      <c r="B4" s="11">
        <v>62</v>
      </c>
      <c r="C4" s="11">
        <v>69</v>
      </c>
      <c r="D4" s="11">
        <v>98</v>
      </c>
      <c r="E4" s="11">
        <v>72</v>
      </c>
      <c r="F4" s="11">
        <v>57</v>
      </c>
      <c r="G4" s="11">
        <v>92</v>
      </c>
      <c r="H4" s="11">
        <v>86</v>
      </c>
      <c r="I4" s="11">
        <v>42</v>
      </c>
      <c r="J4" s="11">
        <v>98</v>
      </c>
      <c r="K4" s="11">
        <v>98</v>
      </c>
      <c r="L4" s="11">
        <v>98</v>
      </c>
      <c r="M4" s="11">
        <v>98</v>
      </c>
      <c r="N4" s="11">
        <v>74</v>
      </c>
      <c r="O4" s="11">
        <v>67</v>
      </c>
      <c r="P4" s="11">
        <v>62</v>
      </c>
      <c r="Q4" s="11">
        <v>71</v>
      </c>
      <c r="R4" s="11">
        <v>58</v>
      </c>
      <c r="S4" s="11">
        <v>79</v>
      </c>
      <c r="T4" s="11">
        <v>88</v>
      </c>
      <c r="U4" s="11">
        <v>99</v>
      </c>
      <c r="V4" s="11">
        <v>98</v>
      </c>
      <c r="W4" s="11">
        <v>63</v>
      </c>
      <c r="X4" s="11">
        <v>97</v>
      </c>
      <c r="Y4" s="11">
        <v>69</v>
      </c>
      <c r="Z4" s="11">
        <v>54</v>
      </c>
      <c r="AA4" s="11">
        <v>92</v>
      </c>
      <c r="AB4" s="11">
        <v>61</v>
      </c>
      <c r="AC4" s="11">
        <v>81</v>
      </c>
      <c r="AD4" s="11">
        <v>95</v>
      </c>
      <c r="AE4" s="11">
        <v>99</v>
      </c>
      <c r="AF4" s="11">
        <v>99</v>
      </c>
      <c r="AH4" s="11">
        <v>76</v>
      </c>
      <c r="AI4" s="37">
        <f>SUM(Table7[[#This Row],[Q01 How often does your hip/groin ache?]:[Q33 How much of the time are you aware of the disability in your hip?]])/AJ4</f>
        <v>79.75</v>
      </c>
      <c r="AJ4" s="11">
        <f>COUNTA(B4:AH4)</f>
        <v>32</v>
      </c>
    </row>
    <row r="5" spans="1:36" x14ac:dyDescent="0.25">
      <c r="A5" s="44" t="s">
        <v>169</v>
      </c>
      <c r="B5" s="11">
        <v>15</v>
      </c>
      <c r="C5" s="11">
        <v>29</v>
      </c>
      <c r="D5" s="11">
        <v>56</v>
      </c>
      <c r="E5" s="11">
        <v>36</v>
      </c>
      <c r="F5" s="11">
        <v>50</v>
      </c>
      <c r="G5" s="11">
        <v>71</v>
      </c>
      <c r="H5" s="11">
        <v>69</v>
      </c>
      <c r="I5" s="11">
        <v>17</v>
      </c>
      <c r="J5" s="11">
        <v>69</v>
      </c>
      <c r="K5" s="11">
        <v>59</v>
      </c>
      <c r="L5" s="11">
        <v>64</v>
      </c>
      <c r="M5" s="11">
        <v>71</v>
      </c>
      <c r="N5" s="11">
        <v>59</v>
      </c>
      <c r="O5" s="11">
        <v>58</v>
      </c>
      <c r="P5" s="11">
        <v>55</v>
      </c>
      <c r="Q5" s="11">
        <v>42</v>
      </c>
      <c r="R5" s="11">
        <v>2</v>
      </c>
      <c r="S5" s="11">
        <v>26</v>
      </c>
      <c r="T5" s="11">
        <v>2</v>
      </c>
      <c r="U5" s="11">
        <v>2</v>
      </c>
      <c r="V5" s="11">
        <v>17</v>
      </c>
      <c r="W5" s="11">
        <v>2</v>
      </c>
      <c r="X5" s="11">
        <v>61</v>
      </c>
      <c r="Y5" s="11">
        <v>53</v>
      </c>
      <c r="Z5" s="11">
        <v>52</v>
      </c>
      <c r="AA5" s="11">
        <v>59</v>
      </c>
      <c r="AB5" s="11">
        <v>1</v>
      </c>
      <c r="AD5" s="11">
        <v>40</v>
      </c>
      <c r="AE5" s="11">
        <v>33</v>
      </c>
      <c r="AF5" s="11">
        <v>30</v>
      </c>
      <c r="AH5" s="11">
        <v>25</v>
      </c>
      <c r="AI5" s="37">
        <f>SUM(Table7[[#This Row],[Q01 How often does your hip/groin ache?]:[Q33 How much of the time are you aware of the disability in your hip?]])/AJ5</f>
        <v>39.516129032258064</v>
      </c>
      <c r="AJ5" s="11">
        <f>COUNTA(B5:AH5)</f>
        <v>31</v>
      </c>
    </row>
    <row r="6" spans="1:36" x14ac:dyDescent="0.25">
      <c r="A6" s="46" t="s">
        <v>174</v>
      </c>
      <c r="B6" s="11">
        <v>66</v>
      </c>
      <c r="C6" s="11">
        <v>23</v>
      </c>
      <c r="D6" s="11">
        <v>81</v>
      </c>
      <c r="E6" s="11">
        <v>37</v>
      </c>
      <c r="F6" s="11">
        <v>67</v>
      </c>
      <c r="G6" s="11">
        <v>54</v>
      </c>
      <c r="H6" s="11">
        <v>72</v>
      </c>
      <c r="I6" s="11">
        <v>46</v>
      </c>
      <c r="J6" s="11">
        <v>57</v>
      </c>
      <c r="K6" s="11">
        <v>41</v>
      </c>
      <c r="L6" s="11">
        <v>22</v>
      </c>
      <c r="M6" s="11">
        <v>67</v>
      </c>
      <c r="N6" s="11">
        <v>65</v>
      </c>
      <c r="O6" s="11">
        <v>34</v>
      </c>
      <c r="P6" s="11">
        <v>35</v>
      </c>
      <c r="Q6" s="11">
        <v>50</v>
      </c>
      <c r="R6" s="11">
        <v>37</v>
      </c>
      <c r="S6" s="11">
        <v>46</v>
      </c>
      <c r="T6" s="11">
        <v>23</v>
      </c>
      <c r="U6" s="11">
        <v>65</v>
      </c>
      <c r="V6" s="11">
        <v>39</v>
      </c>
      <c r="W6" s="11">
        <v>64</v>
      </c>
      <c r="X6" s="11">
        <v>64</v>
      </c>
      <c r="Y6" s="11">
        <v>19</v>
      </c>
      <c r="Z6" s="11">
        <v>27</v>
      </c>
      <c r="AA6" s="11">
        <v>40</v>
      </c>
      <c r="AB6" s="11">
        <v>9</v>
      </c>
      <c r="AC6" s="11">
        <v>29</v>
      </c>
      <c r="AD6" s="11">
        <v>30</v>
      </c>
      <c r="AE6" s="11">
        <v>35</v>
      </c>
      <c r="AF6" s="11">
        <v>45</v>
      </c>
      <c r="AH6" s="11">
        <v>49</v>
      </c>
      <c r="AI6" s="37">
        <f>SUM(Table7[[#This Row],[Q01 How often does your hip/groin ache?]:[Q33 How much of the time are you aware of the disability in your hip?]])/AJ6</f>
        <v>44.9375</v>
      </c>
      <c r="AJ6" s="11">
        <f>COUNTA(B6:AH6)</f>
        <v>32</v>
      </c>
    </row>
    <row r="7" spans="1:36" x14ac:dyDescent="0.25">
      <c r="A7" s="46" t="s">
        <v>177</v>
      </c>
      <c r="B7" s="11">
        <v>74</v>
      </c>
      <c r="C7" s="11">
        <v>100</v>
      </c>
      <c r="D7" s="11">
        <v>100</v>
      </c>
      <c r="E7" s="11">
        <v>100</v>
      </c>
      <c r="F7" s="11">
        <v>99</v>
      </c>
      <c r="G7" s="11">
        <v>90</v>
      </c>
      <c r="H7" s="11">
        <v>99</v>
      </c>
      <c r="I7" s="11">
        <v>100</v>
      </c>
      <c r="J7" s="11">
        <v>89</v>
      </c>
      <c r="K7" s="11">
        <v>95</v>
      </c>
      <c r="L7" s="11">
        <v>100</v>
      </c>
      <c r="M7" s="11">
        <v>98</v>
      </c>
      <c r="N7" s="11">
        <v>100</v>
      </c>
      <c r="O7" s="11">
        <v>100</v>
      </c>
      <c r="P7" s="11">
        <v>100</v>
      </c>
      <c r="Q7" s="11">
        <v>76</v>
      </c>
      <c r="R7" s="11">
        <v>88</v>
      </c>
      <c r="S7" s="11">
        <v>70</v>
      </c>
      <c r="T7" s="11">
        <v>80</v>
      </c>
      <c r="U7" s="11">
        <v>100</v>
      </c>
      <c r="V7" s="11">
        <v>100</v>
      </c>
      <c r="W7" s="11">
        <v>63</v>
      </c>
      <c r="AA7" s="11"/>
      <c r="AB7" s="11">
        <v>95</v>
      </c>
      <c r="AC7" s="11">
        <v>58</v>
      </c>
      <c r="AD7" s="11">
        <v>87</v>
      </c>
      <c r="AE7" s="11">
        <v>100</v>
      </c>
      <c r="AF7" s="11">
        <v>100</v>
      </c>
      <c r="AG7" s="11">
        <v>100</v>
      </c>
      <c r="AH7" s="11">
        <v>82</v>
      </c>
      <c r="AI7" s="37">
        <f>SUM(Table7[[#This Row],[Q01 How often does your hip/groin ache?]:[Q33 How much of the time are you aware of the disability in your hip?]])/AJ7</f>
        <v>91.137931034482762</v>
      </c>
      <c r="AJ7" s="11">
        <f>COUNTA(B7:AH7)</f>
        <v>29</v>
      </c>
    </row>
    <row r="8" spans="1:36" x14ac:dyDescent="0.25">
      <c r="A8" s="48" t="s">
        <v>181</v>
      </c>
      <c r="Q8" s="11"/>
      <c r="W8" s="11"/>
      <c r="AA8" s="11"/>
    </row>
    <row r="9" spans="1:36" x14ac:dyDescent="0.25">
      <c r="A9" s="11" t="s">
        <v>187</v>
      </c>
      <c r="B9" s="11">
        <v>22</v>
      </c>
      <c r="C9" s="11">
        <v>11</v>
      </c>
      <c r="D9" s="11">
        <v>50</v>
      </c>
      <c r="E9" s="11">
        <v>70</v>
      </c>
      <c r="F9" s="11">
        <v>61</v>
      </c>
      <c r="G9" s="11">
        <v>60</v>
      </c>
      <c r="H9" s="11">
        <v>64</v>
      </c>
      <c r="I9" s="11">
        <v>80</v>
      </c>
      <c r="J9" s="11">
        <v>79</v>
      </c>
      <c r="K9" s="11">
        <v>83</v>
      </c>
      <c r="L9" s="11">
        <v>71</v>
      </c>
      <c r="M9" s="11">
        <v>74</v>
      </c>
      <c r="N9" s="11">
        <v>63</v>
      </c>
      <c r="O9" s="11">
        <v>77</v>
      </c>
      <c r="P9" s="11">
        <v>77</v>
      </c>
      <c r="Q9" s="11">
        <v>49</v>
      </c>
      <c r="R9" s="11">
        <v>32</v>
      </c>
      <c r="S9" s="11">
        <v>50</v>
      </c>
      <c r="T9" s="11">
        <v>39</v>
      </c>
      <c r="U9" s="11">
        <v>61</v>
      </c>
      <c r="V9" s="11">
        <v>56</v>
      </c>
      <c r="W9" s="11">
        <v>58</v>
      </c>
      <c r="AA9" s="11"/>
      <c r="AB9" s="11">
        <v>42</v>
      </c>
      <c r="AC9" s="11">
        <v>76</v>
      </c>
      <c r="AD9" s="11">
        <v>52</v>
      </c>
      <c r="AE9" s="11">
        <v>66</v>
      </c>
      <c r="AF9" s="11">
        <v>80</v>
      </c>
      <c r="AH9" s="11">
        <v>54</v>
      </c>
      <c r="AI9" s="37">
        <f>SUM(Table7[[#This Row],[Q01 How often does your hip/groin ache?]:[Q33 How much of the time are you aware of the disability in your hip?]])/AJ9</f>
        <v>59.178571428571431</v>
      </c>
      <c r="AJ9" s="11">
        <f t="shared" ref="AJ9:AJ17" si="0">COUNTA(B9:AH9)</f>
        <v>28</v>
      </c>
    </row>
    <row r="10" spans="1:36" x14ac:dyDescent="0.25">
      <c r="A10" s="11" t="s">
        <v>194</v>
      </c>
      <c r="B10" s="11">
        <v>55</v>
      </c>
      <c r="C10" s="11">
        <v>32</v>
      </c>
      <c r="D10" s="11">
        <v>91</v>
      </c>
      <c r="E10" s="11">
        <v>100</v>
      </c>
      <c r="F10" s="11">
        <v>92</v>
      </c>
      <c r="G10" s="11">
        <v>97</v>
      </c>
      <c r="H10" s="11">
        <v>99</v>
      </c>
      <c r="I10" s="11">
        <v>99</v>
      </c>
      <c r="J10" s="11">
        <v>99</v>
      </c>
      <c r="K10" s="11">
        <v>100</v>
      </c>
      <c r="L10" s="11">
        <v>99</v>
      </c>
      <c r="M10" s="11">
        <v>100</v>
      </c>
      <c r="N10" s="11">
        <v>99</v>
      </c>
      <c r="O10" s="11">
        <v>57</v>
      </c>
      <c r="P10" s="11">
        <v>99</v>
      </c>
      <c r="Q10" s="11">
        <v>56</v>
      </c>
      <c r="R10" s="11">
        <v>73</v>
      </c>
      <c r="S10" s="11">
        <v>89</v>
      </c>
      <c r="T10" s="11">
        <v>90</v>
      </c>
      <c r="U10" s="11">
        <v>98</v>
      </c>
      <c r="V10" s="11">
        <v>67</v>
      </c>
      <c r="W10" s="11">
        <v>77</v>
      </c>
      <c r="X10" s="11">
        <v>100</v>
      </c>
      <c r="Y10" s="11">
        <v>46</v>
      </c>
      <c r="Z10" s="11">
        <v>75</v>
      </c>
      <c r="AA10" s="11">
        <v>98</v>
      </c>
      <c r="AB10" s="11">
        <v>60</v>
      </c>
      <c r="AC10" s="11">
        <v>99</v>
      </c>
      <c r="AD10" s="11">
        <v>60</v>
      </c>
      <c r="AE10" s="11">
        <v>98</v>
      </c>
      <c r="AF10" s="11">
        <v>80</v>
      </c>
      <c r="AG10" s="11">
        <v>99</v>
      </c>
      <c r="AH10" s="11">
        <v>79</v>
      </c>
      <c r="AI10" s="37">
        <f>SUM(Table7[[#This Row],[Q01 How often does your hip/groin ache?]:[Q33 How much of the time are you aware of the disability in your hip?]])/AJ10</f>
        <v>83.696969696969703</v>
      </c>
      <c r="AJ10" s="11">
        <f t="shared" si="0"/>
        <v>33</v>
      </c>
    </row>
    <row r="11" spans="1:36" x14ac:dyDescent="0.25">
      <c r="A11" s="45" t="s">
        <v>197</v>
      </c>
      <c r="B11" s="11">
        <v>51</v>
      </c>
      <c r="C11" s="11">
        <v>27</v>
      </c>
      <c r="D11" s="11">
        <v>89</v>
      </c>
      <c r="E11" s="11">
        <v>61</v>
      </c>
      <c r="F11" s="11">
        <v>100</v>
      </c>
      <c r="G11" s="11">
        <v>100</v>
      </c>
      <c r="H11" s="11">
        <v>91</v>
      </c>
      <c r="I11" s="11">
        <v>79</v>
      </c>
      <c r="J11" s="11">
        <v>100</v>
      </c>
      <c r="K11" s="11">
        <v>98</v>
      </c>
      <c r="L11" s="11">
        <v>98</v>
      </c>
      <c r="M11" s="11">
        <v>74</v>
      </c>
      <c r="N11" s="11">
        <v>99</v>
      </c>
      <c r="O11" s="11">
        <v>37</v>
      </c>
      <c r="P11" s="11">
        <v>100</v>
      </c>
      <c r="Q11" s="11">
        <v>55</v>
      </c>
      <c r="R11" s="11">
        <v>2</v>
      </c>
      <c r="S11" s="11">
        <v>37</v>
      </c>
      <c r="T11" s="11">
        <v>2</v>
      </c>
      <c r="U11" s="11">
        <v>18</v>
      </c>
      <c r="V11" s="11">
        <v>24</v>
      </c>
      <c r="W11" s="11">
        <v>12</v>
      </c>
      <c r="X11" s="11">
        <v>0</v>
      </c>
      <c r="Y11" s="11">
        <v>64</v>
      </c>
      <c r="Z11" s="11">
        <v>99</v>
      </c>
      <c r="AA11" s="11">
        <v>85</v>
      </c>
      <c r="AB11" s="11">
        <v>15</v>
      </c>
      <c r="AC11" s="11">
        <v>73</v>
      </c>
      <c r="AD11" s="11">
        <v>28</v>
      </c>
      <c r="AE11" s="11">
        <v>9</v>
      </c>
      <c r="AF11" s="11">
        <v>5</v>
      </c>
      <c r="AG11" s="11">
        <v>0</v>
      </c>
      <c r="AH11" s="11">
        <v>41</v>
      </c>
      <c r="AI11" s="37">
        <f>SUM(Table7[[#This Row],[Q01 How often does your hip/groin ache?]:[Q33 How much of the time are you aware of the disability in your hip?]])/AJ11</f>
        <v>53.727272727272727</v>
      </c>
      <c r="AJ11" s="11">
        <f t="shared" si="0"/>
        <v>33</v>
      </c>
    </row>
    <row r="12" spans="1:36" x14ac:dyDescent="0.25">
      <c r="A12" s="19" t="s">
        <v>200</v>
      </c>
      <c r="B12" s="11">
        <v>58</v>
      </c>
      <c r="C12" s="11">
        <v>30</v>
      </c>
      <c r="D12" s="11">
        <v>15</v>
      </c>
      <c r="E12" s="11">
        <v>37</v>
      </c>
      <c r="F12" s="11">
        <v>42</v>
      </c>
      <c r="G12" s="11">
        <v>52</v>
      </c>
      <c r="H12" s="11">
        <v>44</v>
      </c>
      <c r="I12" s="11">
        <v>50</v>
      </c>
      <c r="J12" s="11">
        <v>45</v>
      </c>
      <c r="K12" s="11">
        <v>42</v>
      </c>
      <c r="L12" s="11">
        <v>70</v>
      </c>
      <c r="M12" s="11">
        <v>38</v>
      </c>
      <c r="N12" s="11">
        <v>43</v>
      </c>
      <c r="O12" s="11">
        <v>44</v>
      </c>
      <c r="P12" s="11">
        <v>60</v>
      </c>
      <c r="Q12" s="11">
        <v>53</v>
      </c>
      <c r="R12" s="11">
        <v>70</v>
      </c>
      <c r="S12" s="11">
        <v>52</v>
      </c>
      <c r="T12" s="11">
        <v>47</v>
      </c>
      <c r="U12" s="11">
        <v>55</v>
      </c>
      <c r="V12" s="11">
        <v>31</v>
      </c>
      <c r="W12" s="11">
        <v>60</v>
      </c>
      <c r="Y12" s="11">
        <v>53</v>
      </c>
      <c r="Z12" s="11">
        <v>72</v>
      </c>
      <c r="AA12" s="11">
        <v>82</v>
      </c>
      <c r="AB12" s="11">
        <v>30</v>
      </c>
      <c r="AC12" s="11">
        <v>69</v>
      </c>
      <c r="AD12" s="11">
        <v>47</v>
      </c>
      <c r="AE12" s="11">
        <v>59</v>
      </c>
      <c r="AF12" s="11">
        <v>41</v>
      </c>
      <c r="AH12" s="11">
        <v>33</v>
      </c>
      <c r="AI12" s="37">
        <f>SUM(Table7[[#This Row],[Q01 How often does your hip/groin ache?]:[Q33 How much of the time are you aware of the disability in your hip?]])/AJ12</f>
        <v>49.161290322580648</v>
      </c>
      <c r="AJ12" s="11">
        <f t="shared" si="0"/>
        <v>31</v>
      </c>
    </row>
    <row r="13" spans="1:36" x14ac:dyDescent="0.25">
      <c r="A13" s="45" t="s">
        <v>204</v>
      </c>
      <c r="B13" s="11">
        <v>33</v>
      </c>
      <c r="C13" s="11">
        <v>19</v>
      </c>
      <c r="D13" s="11">
        <v>92</v>
      </c>
      <c r="E13" s="11">
        <v>69</v>
      </c>
      <c r="F13" s="11">
        <v>49</v>
      </c>
      <c r="G13" s="11">
        <v>96</v>
      </c>
      <c r="H13" s="11">
        <v>93</v>
      </c>
      <c r="I13" s="11">
        <v>73</v>
      </c>
      <c r="J13" s="11">
        <v>90</v>
      </c>
      <c r="K13" s="11">
        <v>86</v>
      </c>
      <c r="L13" s="11">
        <v>83</v>
      </c>
      <c r="M13" s="11">
        <v>92</v>
      </c>
      <c r="N13" s="11">
        <v>74</v>
      </c>
      <c r="O13" s="11">
        <v>24</v>
      </c>
      <c r="P13" s="11">
        <v>91</v>
      </c>
      <c r="Q13" s="11">
        <v>63</v>
      </c>
      <c r="R13" s="11">
        <v>34</v>
      </c>
      <c r="S13" s="11">
        <v>42</v>
      </c>
      <c r="T13" s="11">
        <v>22</v>
      </c>
      <c r="U13" s="11">
        <v>58</v>
      </c>
      <c r="V13" s="11">
        <v>76</v>
      </c>
      <c r="W13" s="11">
        <v>47</v>
      </c>
      <c r="X13" s="11">
        <v>92</v>
      </c>
      <c r="Y13" s="11">
        <v>71</v>
      </c>
      <c r="Z13" s="11">
        <v>66</v>
      </c>
      <c r="AA13" s="11">
        <v>73</v>
      </c>
      <c r="AB13" s="11">
        <v>16</v>
      </c>
      <c r="AC13" s="11">
        <v>86</v>
      </c>
      <c r="AD13" s="11">
        <v>23</v>
      </c>
      <c r="AE13" s="11">
        <v>88</v>
      </c>
      <c r="AF13" s="11">
        <v>70</v>
      </c>
      <c r="AG13" s="11">
        <v>81</v>
      </c>
      <c r="AH13" s="11">
        <v>49</v>
      </c>
      <c r="AI13" s="37">
        <f>SUM(Table7[[#This Row],[Q01 How often does your hip/groin ache?]:[Q33 How much of the time are you aware of the disability in your hip?]])/AJ13</f>
        <v>64.272727272727266</v>
      </c>
      <c r="AJ13" s="11">
        <f t="shared" si="0"/>
        <v>33</v>
      </c>
    </row>
    <row r="14" spans="1:36" x14ac:dyDescent="0.25">
      <c r="A14" s="19" t="s">
        <v>206</v>
      </c>
      <c r="B14" s="11">
        <v>81</v>
      </c>
      <c r="C14" s="11">
        <v>85</v>
      </c>
      <c r="D14" s="11">
        <v>100</v>
      </c>
      <c r="E14" s="11">
        <v>96</v>
      </c>
      <c r="F14" s="11">
        <v>100</v>
      </c>
      <c r="G14" s="11">
        <v>100</v>
      </c>
      <c r="H14" s="11">
        <v>100</v>
      </c>
      <c r="I14" s="11">
        <v>97</v>
      </c>
      <c r="J14" s="11">
        <v>100</v>
      </c>
      <c r="K14" s="11">
        <v>100</v>
      </c>
      <c r="L14" s="11">
        <v>100</v>
      </c>
      <c r="M14" s="11">
        <v>96</v>
      </c>
      <c r="N14" s="11">
        <v>100</v>
      </c>
      <c r="O14" s="11">
        <v>100</v>
      </c>
      <c r="P14" s="11">
        <v>100</v>
      </c>
      <c r="Q14" s="11">
        <v>93</v>
      </c>
      <c r="R14" s="11">
        <v>75</v>
      </c>
      <c r="S14" s="11">
        <v>72</v>
      </c>
      <c r="T14" s="11">
        <v>79</v>
      </c>
      <c r="U14" s="11">
        <v>90</v>
      </c>
      <c r="V14" s="11">
        <v>18</v>
      </c>
      <c r="W14" s="11">
        <v>77</v>
      </c>
      <c r="Y14" s="11">
        <v>100</v>
      </c>
      <c r="Z14" s="11">
        <v>62</v>
      </c>
      <c r="AA14" s="11">
        <v>100</v>
      </c>
      <c r="AB14" s="11">
        <v>54</v>
      </c>
      <c r="AC14" s="11">
        <v>100</v>
      </c>
      <c r="AD14" s="11">
        <v>93</v>
      </c>
      <c r="AE14" s="11">
        <v>100</v>
      </c>
      <c r="AF14" s="11">
        <v>100</v>
      </c>
      <c r="AH14" s="11">
        <v>75</v>
      </c>
      <c r="AI14" s="37">
        <f>SUM(Table7[[#This Row],[Q01 How often does your hip/groin ache?]:[Q33 How much of the time are you aware of the disability in your hip?]])/AJ14</f>
        <v>88.483870967741936</v>
      </c>
      <c r="AJ14" s="11">
        <f t="shared" si="0"/>
        <v>31</v>
      </c>
    </row>
    <row r="15" spans="1:36" x14ac:dyDescent="0.25">
      <c r="A15" s="45" t="s">
        <v>209</v>
      </c>
      <c r="B15" s="11">
        <v>58</v>
      </c>
      <c r="C15" s="11">
        <v>24</v>
      </c>
      <c r="D15" s="11">
        <v>75</v>
      </c>
      <c r="E15" s="11">
        <v>48</v>
      </c>
      <c r="F15" s="11">
        <v>30</v>
      </c>
      <c r="G15" s="11">
        <v>74</v>
      </c>
      <c r="H15" s="11">
        <v>71</v>
      </c>
      <c r="I15" s="11">
        <v>89</v>
      </c>
      <c r="J15" s="11">
        <v>90</v>
      </c>
      <c r="K15" s="11">
        <v>92</v>
      </c>
      <c r="L15" s="11">
        <v>94</v>
      </c>
      <c r="M15" s="11">
        <v>39</v>
      </c>
      <c r="N15" s="11">
        <v>81</v>
      </c>
      <c r="O15" s="11">
        <v>38</v>
      </c>
      <c r="P15" s="11">
        <v>96</v>
      </c>
      <c r="Q15" s="11">
        <v>61</v>
      </c>
      <c r="R15" s="11">
        <v>0</v>
      </c>
      <c r="S15" s="11">
        <v>59</v>
      </c>
      <c r="T15" s="11">
        <v>25</v>
      </c>
      <c r="U15" s="11">
        <v>37</v>
      </c>
      <c r="V15" s="11">
        <v>29</v>
      </c>
      <c r="W15" s="11">
        <v>26</v>
      </c>
      <c r="Y15" s="11">
        <v>7</v>
      </c>
      <c r="Z15" s="11">
        <v>60</v>
      </c>
      <c r="AA15" s="11">
        <v>75</v>
      </c>
      <c r="AB15" s="11">
        <v>0</v>
      </c>
      <c r="AC15" s="11">
        <v>33</v>
      </c>
      <c r="AD15" s="11">
        <v>31</v>
      </c>
      <c r="AE15" s="11">
        <v>67</v>
      </c>
      <c r="AF15" s="11">
        <v>30</v>
      </c>
      <c r="AH15" s="11">
        <v>22</v>
      </c>
      <c r="AI15" s="37">
        <f>SUM(Table7[[#This Row],[Q01 How often does your hip/groin ache?]:[Q33 How much of the time are you aware of the disability in your hip?]])/AJ15</f>
        <v>50.354838709677416</v>
      </c>
      <c r="AJ15" s="11">
        <f t="shared" si="0"/>
        <v>31</v>
      </c>
    </row>
    <row r="16" spans="1:36" x14ac:dyDescent="0.25">
      <c r="A16" s="19" t="s">
        <v>212</v>
      </c>
      <c r="B16" s="37">
        <v>49.774774774999997</v>
      </c>
      <c r="C16" s="37">
        <v>46.621621621999999</v>
      </c>
      <c r="D16" s="37">
        <v>99.099099099</v>
      </c>
      <c r="E16" s="37">
        <v>36.486486485999997</v>
      </c>
      <c r="F16" s="37">
        <v>82.207207206999996</v>
      </c>
      <c r="G16" s="37">
        <v>87.350337350000004</v>
      </c>
      <c r="H16" s="37">
        <v>99.440349440000006</v>
      </c>
      <c r="I16" s="37">
        <v>78.282828283000001</v>
      </c>
      <c r="J16" s="37">
        <v>85.536835537000002</v>
      </c>
      <c r="K16" s="37">
        <v>98.533598534000006</v>
      </c>
      <c r="L16" s="37">
        <v>99.742599743</v>
      </c>
      <c r="M16" s="37">
        <v>85.234585234999997</v>
      </c>
      <c r="N16" s="37">
        <v>87.350337350000004</v>
      </c>
      <c r="O16" s="37">
        <v>76.167076167000005</v>
      </c>
      <c r="P16" s="37">
        <v>90.372840373000003</v>
      </c>
      <c r="Q16" s="37">
        <v>44.128544128999998</v>
      </c>
      <c r="R16" s="37">
        <v>47.151047151</v>
      </c>
      <c r="S16" s="37">
        <v>84.025584026000004</v>
      </c>
      <c r="T16" s="37">
        <v>27.504777505</v>
      </c>
      <c r="U16" s="37">
        <v>99.138099138000001</v>
      </c>
      <c r="V16" s="37">
        <v>89.163839163999995</v>
      </c>
      <c r="W16" s="37">
        <v>80.398580398999997</v>
      </c>
      <c r="X16" s="37">
        <v>97.626847627000004</v>
      </c>
      <c r="Y16" s="37">
        <v>79.189579190000003</v>
      </c>
      <c r="Z16" s="37">
        <v>39.594789595000002</v>
      </c>
      <c r="AA16" s="37">
        <v>69.819819820000006</v>
      </c>
      <c r="AB16" s="37">
        <v>30.829530829999999</v>
      </c>
      <c r="AC16" s="37">
        <v>99.693605943999998</v>
      </c>
      <c r="AD16" s="37">
        <v>47.151047151</v>
      </c>
      <c r="AE16" s="37">
        <v>72.540072539999997</v>
      </c>
      <c r="AF16" s="37">
        <v>62.868062868000003</v>
      </c>
      <c r="AG16" s="37">
        <v>78.282828283000001</v>
      </c>
      <c r="AH16" s="37">
        <v>32.643032642999998</v>
      </c>
      <c r="AI16" s="37">
        <f>SUM(Table7[[#This Row],[Q01 How often does your hip/groin ache?]:[Q33 How much of the time are you aware of the disability in your hip?]])/AJ16</f>
        <v>72.240917127393928</v>
      </c>
      <c r="AJ16" s="11">
        <f t="shared" si="0"/>
        <v>33</v>
      </c>
    </row>
    <row r="17" spans="1:36" x14ac:dyDescent="0.25">
      <c r="A17" s="45" t="s">
        <v>215</v>
      </c>
      <c r="B17" s="37">
        <v>9.8101265820000005</v>
      </c>
      <c r="C17" s="37">
        <v>6.0126582280000003</v>
      </c>
      <c r="D17" s="37">
        <v>1.8987341769999999</v>
      </c>
      <c r="E17" s="37">
        <v>31.012658227999999</v>
      </c>
      <c r="F17" s="37">
        <v>16.139240506</v>
      </c>
      <c r="G17" s="37">
        <v>31.329113924000001</v>
      </c>
      <c r="H17" s="37">
        <v>27.531645569999998</v>
      </c>
      <c r="I17" s="37">
        <v>37.658227848000003</v>
      </c>
      <c r="J17" s="37">
        <v>27.215189873</v>
      </c>
      <c r="K17" s="37">
        <v>12.974683543999999</v>
      </c>
      <c r="L17" s="37">
        <v>23.417721519000001</v>
      </c>
      <c r="M17" s="37">
        <v>11.708860759</v>
      </c>
      <c r="N17" s="37">
        <v>22.468354430000002</v>
      </c>
      <c r="O17" s="37">
        <v>10.126582278000001</v>
      </c>
      <c r="P17" s="37">
        <v>75.316455696000006</v>
      </c>
      <c r="Q17" s="37">
        <v>20.886075948999999</v>
      </c>
      <c r="R17" s="37">
        <v>3.7974683539999998</v>
      </c>
      <c r="S17" s="37">
        <v>10.759493671</v>
      </c>
      <c r="T17" s="37">
        <v>13.291139241</v>
      </c>
      <c r="U17" s="37">
        <v>10.126582278000001</v>
      </c>
      <c r="V17" s="37">
        <v>63.291139241000003</v>
      </c>
      <c r="W17" s="37">
        <v>27.215189873</v>
      </c>
      <c r="X17" s="37"/>
      <c r="Y17" s="37">
        <v>1.2658227849999999</v>
      </c>
      <c r="Z17" s="37">
        <v>18.037974684000002</v>
      </c>
      <c r="AA17" s="37">
        <v>20.569620253</v>
      </c>
      <c r="AB17" s="37">
        <v>16.139240506</v>
      </c>
      <c r="AC17" s="37">
        <v>20.886075948999999</v>
      </c>
      <c r="AD17" s="37">
        <v>24.367088608</v>
      </c>
      <c r="AE17" s="37">
        <v>22.151898734</v>
      </c>
      <c r="AF17" s="37">
        <v>58.227848100999999</v>
      </c>
      <c r="AG17" s="37"/>
      <c r="AH17" s="37">
        <v>25.632911392</v>
      </c>
      <c r="AI17" s="37">
        <f>SUM(Table7[[#This Row],[Q01 How often does your hip/groin ache?]:[Q33 How much of the time are you aware of the disability in your hip?]])/AJ17</f>
        <v>22.621478154225802</v>
      </c>
      <c r="AJ17" s="11">
        <f t="shared" si="0"/>
        <v>31</v>
      </c>
    </row>
    <row r="19" spans="1:36" x14ac:dyDescent="0.25">
      <c r="AH19" s="11" t="s">
        <v>274</v>
      </c>
      <c r="AI19" s="37">
        <f>AVERAGE(Table7[Sum])</f>
        <v>60.665851479737569</v>
      </c>
      <c r="AJ19" s="37">
        <f>AVERAGE(Table7[Column1])</f>
        <v>31.5</v>
      </c>
    </row>
    <row r="20" spans="1:36" x14ac:dyDescent="0.25">
      <c r="AH20" s="11" t="s">
        <v>275</v>
      </c>
      <c r="AI20" s="37">
        <f>_xlfn.STDEV.S(Table7[Sum])</f>
        <v>20.160434281103079</v>
      </c>
      <c r="AJ20" s="37">
        <f>_xlfn.STDEV.S(Table7[Column1])</f>
        <v>1.5566235649883124</v>
      </c>
    </row>
    <row r="21" spans="1:36" x14ac:dyDescent="0.25">
      <c r="AH21" s="11" t="s">
        <v>276</v>
      </c>
      <c r="AI21" s="37">
        <f>MEDIAN(Table7[Sum])</f>
        <v>56.452922077922082</v>
      </c>
      <c r="AJ21" s="37">
        <f>MEDIAN(Table7[Column1])</f>
        <v>31.5</v>
      </c>
    </row>
    <row r="22" spans="1:36" x14ac:dyDescent="0.25">
      <c r="AH22" s="11" t="s">
        <v>277</v>
      </c>
      <c r="AI22" s="37">
        <f>MIN(Table7[Sum])</f>
        <v>22.621478154225802</v>
      </c>
      <c r="AJ22" s="37">
        <f>MIN(Table7[Column1])</f>
        <v>28</v>
      </c>
    </row>
    <row r="23" spans="1:36" x14ac:dyDescent="0.25">
      <c r="AH23" s="11" t="s">
        <v>278</v>
      </c>
      <c r="AI23" s="37">
        <f>MAX(Table7[Sum])</f>
        <v>91.137931034482762</v>
      </c>
      <c r="AJ23" s="37">
        <f>MAX(Table7[Column1])</f>
        <v>33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24"/>
  <sheetViews>
    <sheetView zoomScale="55" zoomScaleNormal="55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 x14ac:dyDescent="0.25"/>
  <cols>
    <col min="1" max="1" width="21.28515625" style="19" customWidth="1"/>
    <col min="2" max="8" width="14.140625" customWidth="1"/>
    <col min="9" max="9" width="14.140625" style="17" customWidth="1"/>
    <col min="10" max="19" width="14.140625" customWidth="1"/>
    <col min="20" max="20" width="14.140625" style="17" customWidth="1"/>
    <col min="21" max="25" width="14.140625" customWidth="1"/>
    <col min="26" max="26" width="14.140625" style="17" customWidth="1"/>
    <col min="27" max="34" width="14.140625" customWidth="1"/>
    <col min="35" max="35" width="14.140625" style="17" customWidth="1"/>
    <col min="36" max="37" width="14.140625" customWidth="1"/>
    <col min="38" max="38" width="14.140625" style="17" customWidth="1"/>
    <col min="39" max="43" width="14.140625" customWidth="1"/>
    <col min="44" max="51" width="15.85546875" customWidth="1"/>
  </cols>
  <sheetData>
    <row r="1" spans="1:44" s="13" customFormat="1" ht="180" customHeight="1" x14ac:dyDescent="0.25">
      <c r="A1" s="18" t="s">
        <v>279</v>
      </c>
      <c r="B1" s="13" t="s">
        <v>280</v>
      </c>
      <c r="C1" s="13" t="s">
        <v>281</v>
      </c>
      <c r="D1" s="13" t="s">
        <v>282</v>
      </c>
      <c r="E1" s="13" t="s">
        <v>283</v>
      </c>
      <c r="F1" s="13" t="s">
        <v>284</v>
      </c>
      <c r="G1" s="13" t="s">
        <v>285</v>
      </c>
      <c r="H1" s="13" t="s">
        <v>286</v>
      </c>
      <c r="I1" s="21" t="s">
        <v>287</v>
      </c>
      <c r="J1" s="13" t="s">
        <v>288</v>
      </c>
      <c r="K1" s="13" t="s">
        <v>289</v>
      </c>
      <c r="L1" s="13" t="s">
        <v>290</v>
      </c>
      <c r="M1" s="13" t="s">
        <v>291</v>
      </c>
      <c r="N1" s="13" t="s">
        <v>292</v>
      </c>
      <c r="O1" s="13" t="s">
        <v>293</v>
      </c>
      <c r="P1" s="13" t="s">
        <v>294</v>
      </c>
      <c r="Q1" s="13" t="s">
        <v>295</v>
      </c>
      <c r="R1" s="13" t="s">
        <v>296</v>
      </c>
      <c r="S1" s="13" t="s">
        <v>297</v>
      </c>
      <c r="T1" s="21" t="s">
        <v>298</v>
      </c>
      <c r="U1" s="13" t="s">
        <v>299</v>
      </c>
      <c r="V1" s="13" t="s">
        <v>300</v>
      </c>
      <c r="W1" s="13" t="s">
        <v>301</v>
      </c>
      <c r="X1" s="13" t="s">
        <v>302</v>
      </c>
      <c r="Y1" s="15" t="s">
        <v>303</v>
      </c>
      <c r="Z1" s="21" t="s">
        <v>304</v>
      </c>
      <c r="AA1" s="13" t="s">
        <v>305</v>
      </c>
      <c r="AB1" s="13" t="s">
        <v>306</v>
      </c>
      <c r="AC1" s="13" t="s">
        <v>307</v>
      </c>
      <c r="AD1" s="13" t="s">
        <v>308</v>
      </c>
      <c r="AE1" s="13" t="s">
        <v>309</v>
      </c>
      <c r="AF1" s="13" t="s">
        <v>310</v>
      </c>
      <c r="AG1" s="13" t="s">
        <v>311</v>
      </c>
      <c r="AH1" s="15" t="s">
        <v>312</v>
      </c>
      <c r="AI1" s="21" t="s">
        <v>313</v>
      </c>
      <c r="AJ1" s="13" t="s">
        <v>314</v>
      </c>
      <c r="AK1" s="13" t="s">
        <v>315</v>
      </c>
      <c r="AL1" s="21" t="s">
        <v>316</v>
      </c>
      <c r="AM1" s="13" t="s">
        <v>317</v>
      </c>
      <c r="AN1" s="13" t="s">
        <v>318</v>
      </c>
      <c r="AO1" s="13" t="s">
        <v>319</v>
      </c>
      <c r="AP1" s="13" t="s">
        <v>320</v>
      </c>
      <c r="AQ1" s="13" t="s">
        <v>321</v>
      </c>
      <c r="AR1" s="21" t="s">
        <v>322</v>
      </c>
    </row>
    <row r="2" spans="1:44" x14ac:dyDescent="0.25">
      <c r="A2" t="s">
        <v>323</v>
      </c>
      <c r="B2">
        <v>2</v>
      </c>
      <c r="C2">
        <v>2</v>
      </c>
      <c r="D2">
        <v>2</v>
      </c>
      <c r="E2">
        <v>2</v>
      </c>
      <c r="F2">
        <v>1</v>
      </c>
      <c r="G2">
        <v>1</v>
      </c>
      <c r="H2">
        <v>1</v>
      </c>
      <c r="I2" s="35">
        <f t="shared" ref="I2:I16" si="0">100-(SUM(B2:H2)*100)/28</f>
        <v>60.714285714285715</v>
      </c>
      <c r="J2">
        <v>2</v>
      </c>
      <c r="K2">
        <v>2</v>
      </c>
      <c r="L2">
        <v>1</v>
      </c>
      <c r="M2">
        <v>1</v>
      </c>
      <c r="N2">
        <v>0</v>
      </c>
      <c r="O2">
        <v>1</v>
      </c>
      <c r="P2">
        <v>1</v>
      </c>
      <c r="Q2">
        <v>0</v>
      </c>
      <c r="R2">
        <v>0</v>
      </c>
      <c r="S2">
        <v>1</v>
      </c>
      <c r="T2" s="20">
        <f t="shared" ref="T2:T16" si="1">100-(SUM(J2:S2)*100)/40</f>
        <v>77.5</v>
      </c>
      <c r="U2">
        <v>0</v>
      </c>
      <c r="V2">
        <v>1</v>
      </c>
      <c r="W2">
        <v>1</v>
      </c>
      <c r="X2">
        <v>1</v>
      </c>
      <c r="Y2">
        <v>1</v>
      </c>
      <c r="Z2" s="20">
        <f t="shared" ref="Z2:Z16" si="2">100-(SUM(U2:Y2)*100)/20</f>
        <v>80</v>
      </c>
      <c r="AA2">
        <v>1</v>
      </c>
      <c r="AB2">
        <v>2</v>
      </c>
      <c r="AC2">
        <v>1</v>
      </c>
      <c r="AD2">
        <v>1</v>
      </c>
      <c r="AE2">
        <v>1</v>
      </c>
      <c r="AF2">
        <v>1</v>
      </c>
      <c r="AG2">
        <v>1</v>
      </c>
      <c r="AH2">
        <v>2</v>
      </c>
      <c r="AI2" s="33">
        <f t="shared" ref="AI2:AI16" si="3">100-(SUM(AA2:AH2)*100)/32</f>
        <v>68.75</v>
      </c>
      <c r="AJ2">
        <v>3</v>
      </c>
      <c r="AK2">
        <v>4</v>
      </c>
      <c r="AL2" s="33">
        <f t="shared" ref="AL2:AL16" si="4">100-(SUM(AJ2:AK2)*100)/8</f>
        <v>12.5</v>
      </c>
      <c r="AM2">
        <v>4</v>
      </c>
      <c r="AN2">
        <v>3</v>
      </c>
      <c r="AO2">
        <v>2</v>
      </c>
      <c r="AP2">
        <v>3</v>
      </c>
      <c r="AQ2">
        <v>3</v>
      </c>
      <c r="AR2" s="20">
        <f t="shared" ref="AR2:AR16" si="5">100-(SUM(AM2:AQ2)*100)/20</f>
        <v>25</v>
      </c>
    </row>
    <row r="3" spans="1:44" x14ac:dyDescent="0.25">
      <c r="A3" t="s">
        <v>324</v>
      </c>
      <c r="B3">
        <v>2</v>
      </c>
      <c r="C3">
        <v>0</v>
      </c>
      <c r="D3">
        <v>1</v>
      </c>
      <c r="E3">
        <v>0</v>
      </c>
      <c r="F3">
        <v>2</v>
      </c>
      <c r="G3">
        <v>1</v>
      </c>
      <c r="H3">
        <v>1</v>
      </c>
      <c r="I3" s="35">
        <f t="shared" si="0"/>
        <v>75</v>
      </c>
      <c r="J3">
        <v>1</v>
      </c>
      <c r="K3">
        <v>1</v>
      </c>
      <c r="L3">
        <v>0</v>
      </c>
      <c r="M3">
        <v>2</v>
      </c>
      <c r="N3">
        <v>0</v>
      </c>
      <c r="O3">
        <v>1</v>
      </c>
      <c r="P3">
        <v>1</v>
      </c>
      <c r="Q3">
        <v>0</v>
      </c>
      <c r="R3">
        <v>0</v>
      </c>
      <c r="S3">
        <v>0</v>
      </c>
      <c r="T3" s="20">
        <f t="shared" si="1"/>
        <v>85</v>
      </c>
      <c r="U3">
        <v>0</v>
      </c>
      <c r="V3">
        <v>1</v>
      </c>
      <c r="W3">
        <v>1</v>
      </c>
      <c r="X3">
        <v>1</v>
      </c>
      <c r="Y3">
        <v>2</v>
      </c>
      <c r="Z3" s="20">
        <f t="shared" si="2"/>
        <v>75</v>
      </c>
      <c r="AA3">
        <v>2</v>
      </c>
      <c r="AB3">
        <v>1</v>
      </c>
      <c r="AC3">
        <v>1</v>
      </c>
      <c r="AD3">
        <v>0</v>
      </c>
      <c r="AE3">
        <v>0</v>
      </c>
      <c r="AF3">
        <v>0</v>
      </c>
      <c r="AG3">
        <v>1</v>
      </c>
      <c r="AH3">
        <v>2</v>
      </c>
      <c r="AI3" s="33">
        <f t="shared" si="3"/>
        <v>78.125</v>
      </c>
      <c r="AJ3">
        <v>0</v>
      </c>
      <c r="AK3">
        <v>1</v>
      </c>
      <c r="AL3" s="33">
        <f t="shared" si="4"/>
        <v>87.5</v>
      </c>
      <c r="AM3">
        <v>1</v>
      </c>
      <c r="AN3">
        <v>0</v>
      </c>
      <c r="AO3">
        <v>1</v>
      </c>
      <c r="AP3">
        <v>0</v>
      </c>
      <c r="AQ3">
        <v>1</v>
      </c>
      <c r="AR3" s="20">
        <f t="shared" si="5"/>
        <v>85</v>
      </c>
    </row>
    <row r="4" spans="1:44" x14ac:dyDescent="0.25">
      <c r="A4" t="s">
        <v>325</v>
      </c>
      <c r="B4">
        <v>3</v>
      </c>
      <c r="C4">
        <v>1</v>
      </c>
      <c r="D4">
        <v>1</v>
      </c>
      <c r="E4">
        <v>1</v>
      </c>
      <c r="F4">
        <v>1</v>
      </c>
      <c r="G4">
        <v>2</v>
      </c>
      <c r="H4">
        <v>2</v>
      </c>
      <c r="I4" s="35">
        <f t="shared" si="0"/>
        <v>60.714285714285715</v>
      </c>
      <c r="J4">
        <v>4</v>
      </c>
      <c r="K4">
        <v>2</v>
      </c>
      <c r="L4">
        <v>1</v>
      </c>
      <c r="M4">
        <v>1</v>
      </c>
      <c r="N4">
        <v>1</v>
      </c>
      <c r="O4">
        <v>2</v>
      </c>
      <c r="P4">
        <v>3</v>
      </c>
      <c r="Q4">
        <v>1</v>
      </c>
      <c r="R4">
        <v>1</v>
      </c>
      <c r="S4">
        <v>1</v>
      </c>
      <c r="T4" s="20">
        <f t="shared" si="1"/>
        <v>57.5</v>
      </c>
      <c r="U4">
        <v>1</v>
      </c>
      <c r="V4">
        <v>1</v>
      </c>
      <c r="W4">
        <v>2</v>
      </c>
      <c r="X4">
        <v>2</v>
      </c>
      <c r="Y4">
        <v>2</v>
      </c>
      <c r="Z4" s="20">
        <f t="shared" si="2"/>
        <v>60</v>
      </c>
      <c r="AA4">
        <v>1</v>
      </c>
      <c r="AB4">
        <v>2</v>
      </c>
      <c r="AC4">
        <v>1</v>
      </c>
      <c r="AD4">
        <v>1</v>
      </c>
      <c r="AE4">
        <v>1</v>
      </c>
      <c r="AF4">
        <v>2</v>
      </c>
      <c r="AG4">
        <v>1</v>
      </c>
      <c r="AH4">
        <v>1</v>
      </c>
      <c r="AI4" s="33">
        <f t="shared" si="3"/>
        <v>68.75</v>
      </c>
      <c r="AJ4">
        <v>3</v>
      </c>
      <c r="AK4">
        <v>4</v>
      </c>
      <c r="AL4" s="33">
        <f t="shared" si="4"/>
        <v>12.5</v>
      </c>
      <c r="AM4">
        <v>4</v>
      </c>
      <c r="AN4">
        <v>3</v>
      </c>
      <c r="AO4">
        <v>3</v>
      </c>
      <c r="AP4">
        <v>3</v>
      </c>
      <c r="AQ4">
        <v>3</v>
      </c>
      <c r="AR4" s="20">
        <f t="shared" si="5"/>
        <v>20</v>
      </c>
    </row>
    <row r="5" spans="1:44" x14ac:dyDescent="0.25">
      <c r="A5" t="s">
        <v>326</v>
      </c>
      <c r="B5">
        <v>3</v>
      </c>
      <c r="C5">
        <v>2</v>
      </c>
      <c r="D5">
        <v>3</v>
      </c>
      <c r="E5">
        <v>2</v>
      </c>
      <c r="F5">
        <v>2</v>
      </c>
      <c r="G5">
        <v>2</v>
      </c>
      <c r="H5">
        <v>2</v>
      </c>
      <c r="I5" s="35">
        <f t="shared" si="0"/>
        <v>42.857142857142854</v>
      </c>
      <c r="J5" s="24">
        <v>2</v>
      </c>
      <c r="K5">
        <v>2</v>
      </c>
      <c r="L5">
        <v>1</v>
      </c>
      <c r="M5">
        <v>3</v>
      </c>
      <c r="N5">
        <v>2</v>
      </c>
      <c r="O5">
        <v>1</v>
      </c>
      <c r="P5">
        <v>2</v>
      </c>
      <c r="Q5">
        <v>1</v>
      </c>
      <c r="R5">
        <v>1</v>
      </c>
      <c r="S5">
        <v>1</v>
      </c>
      <c r="T5" s="20">
        <f t="shared" si="1"/>
        <v>60</v>
      </c>
      <c r="U5" s="24">
        <v>1</v>
      </c>
      <c r="V5">
        <v>2</v>
      </c>
      <c r="W5">
        <v>1</v>
      </c>
      <c r="X5">
        <v>2</v>
      </c>
      <c r="Y5">
        <v>1</v>
      </c>
      <c r="Z5" s="20">
        <f t="shared" si="2"/>
        <v>65</v>
      </c>
      <c r="AA5">
        <v>3</v>
      </c>
      <c r="AB5">
        <v>1</v>
      </c>
      <c r="AC5">
        <v>2</v>
      </c>
      <c r="AD5">
        <v>1</v>
      </c>
      <c r="AE5">
        <v>2</v>
      </c>
      <c r="AF5">
        <v>2</v>
      </c>
      <c r="AG5">
        <v>2</v>
      </c>
      <c r="AH5">
        <v>3</v>
      </c>
      <c r="AI5" s="33">
        <f t="shared" si="3"/>
        <v>50</v>
      </c>
      <c r="AJ5">
        <v>1</v>
      </c>
      <c r="AK5">
        <v>2</v>
      </c>
      <c r="AL5" s="33">
        <f t="shared" si="4"/>
        <v>62.5</v>
      </c>
      <c r="AM5">
        <v>3</v>
      </c>
      <c r="AN5">
        <v>1</v>
      </c>
      <c r="AO5">
        <v>2</v>
      </c>
      <c r="AP5">
        <v>2</v>
      </c>
      <c r="AQ5">
        <v>3</v>
      </c>
      <c r="AR5" s="20">
        <f t="shared" si="5"/>
        <v>45</v>
      </c>
    </row>
    <row r="6" spans="1:44" x14ac:dyDescent="0.25">
      <c r="A6" t="s">
        <v>327</v>
      </c>
      <c r="B6">
        <v>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s="35">
        <f t="shared" si="0"/>
        <v>92.857142857142861</v>
      </c>
      <c r="J6" s="24">
        <v>2</v>
      </c>
      <c r="K6">
        <v>0</v>
      </c>
      <c r="L6">
        <v>2</v>
      </c>
      <c r="M6">
        <v>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s="20">
        <f t="shared" si="1"/>
        <v>85</v>
      </c>
      <c r="U6" s="24">
        <v>0</v>
      </c>
      <c r="V6">
        <v>1</v>
      </c>
      <c r="W6">
        <v>0</v>
      </c>
      <c r="X6">
        <v>0</v>
      </c>
      <c r="Y6">
        <v>0</v>
      </c>
      <c r="Z6" s="20">
        <f t="shared" si="2"/>
        <v>95</v>
      </c>
      <c r="AA6">
        <v>1</v>
      </c>
      <c r="AB6">
        <v>0</v>
      </c>
      <c r="AC6">
        <v>0</v>
      </c>
      <c r="AD6">
        <v>0</v>
      </c>
      <c r="AE6">
        <v>0</v>
      </c>
      <c r="AF6">
        <v>2</v>
      </c>
      <c r="AG6">
        <v>1</v>
      </c>
      <c r="AH6">
        <v>0</v>
      </c>
      <c r="AI6" s="33">
        <f t="shared" si="3"/>
        <v>87.5</v>
      </c>
      <c r="AJ6">
        <v>2</v>
      </c>
      <c r="AK6">
        <v>2</v>
      </c>
      <c r="AL6" s="33">
        <f t="shared" si="4"/>
        <v>50</v>
      </c>
      <c r="AM6">
        <v>1</v>
      </c>
      <c r="AN6">
        <v>1</v>
      </c>
      <c r="AO6">
        <v>1</v>
      </c>
      <c r="AP6">
        <v>1</v>
      </c>
      <c r="AQ6">
        <v>2</v>
      </c>
      <c r="AR6" s="20">
        <f t="shared" si="5"/>
        <v>70</v>
      </c>
    </row>
    <row r="7" spans="1:44" x14ac:dyDescent="0.25">
      <c r="A7" t="s">
        <v>328</v>
      </c>
      <c r="B7">
        <v>3</v>
      </c>
      <c r="C7">
        <v>0</v>
      </c>
      <c r="D7">
        <v>2</v>
      </c>
      <c r="E7">
        <v>2</v>
      </c>
      <c r="F7">
        <v>3</v>
      </c>
      <c r="G7">
        <v>2</v>
      </c>
      <c r="H7">
        <v>3</v>
      </c>
      <c r="I7" s="50">
        <f t="shared" si="0"/>
        <v>46.428571428571431</v>
      </c>
      <c r="J7" s="24">
        <v>2</v>
      </c>
      <c r="K7">
        <v>2</v>
      </c>
      <c r="L7">
        <v>1</v>
      </c>
      <c r="M7">
        <v>1</v>
      </c>
      <c r="N7">
        <v>2</v>
      </c>
      <c r="O7">
        <v>0</v>
      </c>
      <c r="P7">
        <v>2</v>
      </c>
      <c r="Q7">
        <v>2</v>
      </c>
      <c r="R7">
        <v>0</v>
      </c>
      <c r="S7">
        <v>0</v>
      </c>
      <c r="T7" s="20">
        <f t="shared" si="1"/>
        <v>70</v>
      </c>
      <c r="U7" s="24">
        <v>2</v>
      </c>
      <c r="V7">
        <v>2</v>
      </c>
      <c r="W7">
        <v>1</v>
      </c>
      <c r="X7">
        <v>3</v>
      </c>
      <c r="Y7">
        <v>2</v>
      </c>
      <c r="Z7" s="20">
        <f t="shared" si="2"/>
        <v>50</v>
      </c>
      <c r="AA7">
        <v>2</v>
      </c>
      <c r="AB7">
        <v>3</v>
      </c>
      <c r="AC7">
        <v>2</v>
      </c>
      <c r="AD7">
        <v>0</v>
      </c>
      <c r="AE7">
        <v>3</v>
      </c>
      <c r="AF7">
        <v>3</v>
      </c>
      <c r="AG7">
        <v>2</v>
      </c>
      <c r="AH7">
        <v>2</v>
      </c>
      <c r="AI7" s="33">
        <f t="shared" si="3"/>
        <v>46.875</v>
      </c>
      <c r="AJ7">
        <v>4</v>
      </c>
      <c r="AK7">
        <v>4</v>
      </c>
      <c r="AL7" s="20">
        <f t="shared" si="4"/>
        <v>0</v>
      </c>
      <c r="AM7">
        <v>3</v>
      </c>
      <c r="AN7">
        <v>2</v>
      </c>
      <c r="AO7">
        <v>2</v>
      </c>
      <c r="AP7">
        <v>3</v>
      </c>
      <c r="AQ7">
        <v>2</v>
      </c>
      <c r="AR7" s="20">
        <f t="shared" si="5"/>
        <v>40</v>
      </c>
    </row>
    <row r="8" spans="1:44" x14ac:dyDescent="0.25">
      <c r="A8" t="s">
        <v>329</v>
      </c>
      <c r="B8">
        <v>2</v>
      </c>
      <c r="C8">
        <v>1</v>
      </c>
      <c r="D8">
        <v>2</v>
      </c>
      <c r="E8">
        <v>1</v>
      </c>
      <c r="F8">
        <v>2</v>
      </c>
      <c r="G8">
        <v>2</v>
      </c>
      <c r="H8">
        <v>2</v>
      </c>
      <c r="I8" s="35">
        <f t="shared" si="0"/>
        <v>57.142857142857146</v>
      </c>
      <c r="J8" s="24">
        <v>3</v>
      </c>
      <c r="K8">
        <v>3</v>
      </c>
      <c r="L8">
        <v>1</v>
      </c>
      <c r="M8">
        <v>2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 s="20">
        <f t="shared" si="1"/>
        <v>75</v>
      </c>
      <c r="U8" s="24">
        <v>1</v>
      </c>
      <c r="V8">
        <v>1</v>
      </c>
      <c r="W8">
        <v>1</v>
      </c>
      <c r="X8">
        <v>1</v>
      </c>
      <c r="Y8">
        <v>1</v>
      </c>
      <c r="Z8" s="20">
        <f t="shared" si="2"/>
        <v>75</v>
      </c>
      <c r="AA8">
        <v>1</v>
      </c>
      <c r="AB8">
        <v>1</v>
      </c>
      <c r="AC8">
        <v>2</v>
      </c>
      <c r="AD8">
        <v>0</v>
      </c>
      <c r="AE8">
        <v>1</v>
      </c>
      <c r="AF8">
        <v>2</v>
      </c>
      <c r="AG8">
        <v>2</v>
      </c>
      <c r="AH8">
        <v>2</v>
      </c>
      <c r="AI8" s="33">
        <f t="shared" si="3"/>
        <v>65.625</v>
      </c>
      <c r="AJ8">
        <v>1</v>
      </c>
      <c r="AK8">
        <v>1</v>
      </c>
      <c r="AL8" s="33">
        <f t="shared" si="4"/>
        <v>75</v>
      </c>
      <c r="AM8">
        <v>3</v>
      </c>
      <c r="AN8">
        <v>0</v>
      </c>
      <c r="AO8">
        <v>1</v>
      </c>
      <c r="AP8">
        <v>2</v>
      </c>
      <c r="AQ8">
        <v>2</v>
      </c>
      <c r="AR8" s="20">
        <f t="shared" si="5"/>
        <v>60</v>
      </c>
    </row>
    <row r="9" spans="1:44" x14ac:dyDescent="0.25">
      <c r="A9" s="19" t="s">
        <v>330</v>
      </c>
      <c r="B9">
        <v>2</v>
      </c>
      <c r="C9">
        <v>3</v>
      </c>
      <c r="D9">
        <v>2</v>
      </c>
      <c r="E9">
        <v>0</v>
      </c>
      <c r="F9">
        <v>2</v>
      </c>
      <c r="G9">
        <v>0</v>
      </c>
      <c r="H9">
        <v>0</v>
      </c>
      <c r="I9" s="35">
        <f t="shared" si="0"/>
        <v>67.857142857142861</v>
      </c>
      <c r="J9" s="24">
        <v>3</v>
      </c>
      <c r="K9">
        <v>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 s="20">
        <f t="shared" si="1"/>
        <v>85</v>
      </c>
      <c r="U9" s="24">
        <v>0</v>
      </c>
      <c r="V9">
        <v>0</v>
      </c>
      <c r="W9">
        <v>0</v>
      </c>
      <c r="X9">
        <v>0</v>
      </c>
      <c r="Y9">
        <v>1</v>
      </c>
      <c r="Z9" s="20">
        <f t="shared" si="2"/>
        <v>95</v>
      </c>
      <c r="AA9">
        <v>1</v>
      </c>
      <c r="AB9">
        <v>2</v>
      </c>
      <c r="AC9">
        <v>3</v>
      </c>
      <c r="AD9">
        <v>0</v>
      </c>
      <c r="AE9">
        <v>0</v>
      </c>
      <c r="AF9">
        <v>2</v>
      </c>
      <c r="AG9">
        <v>1</v>
      </c>
      <c r="AH9">
        <v>1</v>
      </c>
      <c r="AI9" s="33">
        <f t="shared" si="3"/>
        <v>68.75</v>
      </c>
      <c r="AJ9">
        <v>2</v>
      </c>
      <c r="AK9">
        <v>2</v>
      </c>
      <c r="AL9" s="33">
        <f t="shared" si="4"/>
        <v>50</v>
      </c>
      <c r="AM9">
        <v>3</v>
      </c>
      <c r="AN9">
        <v>1</v>
      </c>
      <c r="AO9">
        <v>1</v>
      </c>
      <c r="AP9">
        <v>1</v>
      </c>
      <c r="AQ9">
        <v>2</v>
      </c>
      <c r="AR9" s="20">
        <f t="shared" si="5"/>
        <v>60</v>
      </c>
    </row>
    <row r="10" spans="1:44" x14ac:dyDescent="0.25">
      <c r="A10" s="19" t="s">
        <v>331</v>
      </c>
      <c r="B10">
        <v>3</v>
      </c>
      <c r="C10">
        <v>3</v>
      </c>
      <c r="D10">
        <v>3</v>
      </c>
      <c r="E10">
        <v>1</v>
      </c>
      <c r="F10">
        <v>2</v>
      </c>
      <c r="G10">
        <v>1</v>
      </c>
      <c r="H10">
        <v>2</v>
      </c>
      <c r="I10" s="35">
        <f t="shared" si="0"/>
        <v>46.428571428571431</v>
      </c>
      <c r="J10" s="24">
        <v>3</v>
      </c>
      <c r="K10">
        <v>0</v>
      </c>
      <c r="L10">
        <v>0</v>
      </c>
      <c r="M10">
        <v>2</v>
      </c>
      <c r="N10">
        <v>1</v>
      </c>
      <c r="O10">
        <v>1</v>
      </c>
      <c r="P10">
        <v>2</v>
      </c>
      <c r="Q10">
        <v>0</v>
      </c>
      <c r="R10">
        <v>0</v>
      </c>
      <c r="S10">
        <v>1</v>
      </c>
      <c r="T10" s="20">
        <f t="shared" si="1"/>
        <v>75</v>
      </c>
      <c r="U10" s="24">
        <v>1</v>
      </c>
      <c r="V10">
        <v>0</v>
      </c>
      <c r="W10">
        <v>0</v>
      </c>
      <c r="X10">
        <v>1</v>
      </c>
      <c r="Y10">
        <v>2</v>
      </c>
      <c r="Z10" s="20">
        <f t="shared" si="2"/>
        <v>80</v>
      </c>
      <c r="AA10">
        <v>3</v>
      </c>
      <c r="AB10">
        <v>3</v>
      </c>
      <c r="AC10">
        <v>2</v>
      </c>
      <c r="AD10">
        <v>1</v>
      </c>
      <c r="AE10">
        <v>3</v>
      </c>
      <c r="AF10">
        <v>2</v>
      </c>
      <c r="AG10">
        <v>2</v>
      </c>
      <c r="AH10">
        <v>2</v>
      </c>
      <c r="AI10" s="33">
        <f t="shared" si="3"/>
        <v>43.75</v>
      </c>
      <c r="AJ10">
        <v>3</v>
      </c>
      <c r="AK10">
        <v>4</v>
      </c>
      <c r="AL10" s="33">
        <f t="shared" si="4"/>
        <v>12.5</v>
      </c>
      <c r="AM10">
        <v>3</v>
      </c>
      <c r="AN10">
        <v>3</v>
      </c>
      <c r="AO10">
        <v>2</v>
      </c>
      <c r="AP10">
        <v>3</v>
      </c>
      <c r="AQ10">
        <v>3</v>
      </c>
      <c r="AR10" s="20">
        <f t="shared" si="5"/>
        <v>30</v>
      </c>
    </row>
    <row r="11" spans="1:44" x14ac:dyDescent="0.25">
      <c r="A11" s="19" t="s">
        <v>332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 s="35">
        <f t="shared" si="0"/>
        <v>50</v>
      </c>
      <c r="J11" s="24">
        <v>2</v>
      </c>
      <c r="K11">
        <v>2</v>
      </c>
      <c r="L11">
        <v>1</v>
      </c>
      <c r="M11">
        <v>2</v>
      </c>
      <c r="N11">
        <v>0</v>
      </c>
      <c r="O11">
        <v>1</v>
      </c>
      <c r="P11">
        <v>1</v>
      </c>
      <c r="Q11">
        <v>1</v>
      </c>
      <c r="R11">
        <v>2</v>
      </c>
      <c r="S11">
        <v>2</v>
      </c>
      <c r="T11" s="20">
        <f t="shared" si="1"/>
        <v>65</v>
      </c>
      <c r="U11" s="24">
        <v>0</v>
      </c>
      <c r="V11">
        <v>0</v>
      </c>
      <c r="W11">
        <v>2</v>
      </c>
      <c r="X11">
        <v>1</v>
      </c>
      <c r="Y11">
        <v>1</v>
      </c>
      <c r="Z11" s="20">
        <f t="shared" si="2"/>
        <v>80</v>
      </c>
      <c r="AA11">
        <v>1</v>
      </c>
      <c r="AB11">
        <v>2</v>
      </c>
      <c r="AC11">
        <v>2</v>
      </c>
      <c r="AD11">
        <v>2</v>
      </c>
      <c r="AE11">
        <v>2</v>
      </c>
      <c r="AF11">
        <v>2</v>
      </c>
      <c r="AG11">
        <v>2</v>
      </c>
      <c r="AH11">
        <v>2</v>
      </c>
      <c r="AI11" s="33">
        <f t="shared" si="3"/>
        <v>53.125</v>
      </c>
      <c r="AJ11">
        <v>1</v>
      </c>
      <c r="AK11">
        <v>1</v>
      </c>
      <c r="AL11" s="33">
        <f t="shared" si="4"/>
        <v>75</v>
      </c>
      <c r="AM11">
        <v>2</v>
      </c>
      <c r="AN11">
        <v>3</v>
      </c>
      <c r="AO11">
        <v>2</v>
      </c>
      <c r="AP11">
        <v>1</v>
      </c>
      <c r="AQ11">
        <v>2</v>
      </c>
      <c r="AR11" s="20">
        <f t="shared" si="5"/>
        <v>50</v>
      </c>
    </row>
    <row r="12" spans="1:44" x14ac:dyDescent="0.25">
      <c r="A12" s="19" t="s">
        <v>333</v>
      </c>
      <c r="B12">
        <v>3</v>
      </c>
      <c r="C12">
        <v>3</v>
      </c>
      <c r="D12">
        <v>2</v>
      </c>
      <c r="E12">
        <v>1</v>
      </c>
      <c r="F12">
        <v>2</v>
      </c>
      <c r="G12">
        <v>1</v>
      </c>
      <c r="H12">
        <v>2</v>
      </c>
      <c r="I12" s="34">
        <f t="shared" si="0"/>
        <v>50</v>
      </c>
      <c r="J12" s="24">
        <v>3</v>
      </c>
      <c r="K12">
        <v>1</v>
      </c>
      <c r="L12">
        <v>1</v>
      </c>
      <c r="M12">
        <v>2</v>
      </c>
      <c r="N12">
        <v>1</v>
      </c>
      <c r="O12">
        <v>0</v>
      </c>
      <c r="P12">
        <v>2</v>
      </c>
      <c r="Q12">
        <v>1</v>
      </c>
      <c r="R12">
        <v>0</v>
      </c>
      <c r="S12">
        <v>0</v>
      </c>
      <c r="T12" s="20">
        <f t="shared" si="1"/>
        <v>72.5</v>
      </c>
      <c r="U12" s="24">
        <v>1</v>
      </c>
      <c r="V12">
        <v>1</v>
      </c>
      <c r="W12">
        <v>2</v>
      </c>
      <c r="X12">
        <v>1</v>
      </c>
      <c r="Y12">
        <v>1</v>
      </c>
      <c r="Z12" s="20">
        <f t="shared" si="2"/>
        <v>70</v>
      </c>
      <c r="AA12">
        <v>1</v>
      </c>
      <c r="AB12">
        <v>1</v>
      </c>
      <c r="AC12">
        <v>1</v>
      </c>
      <c r="AD12">
        <v>0</v>
      </c>
      <c r="AE12">
        <v>0</v>
      </c>
      <c r="AF12">
        <v>2</v>
      </c>
      <c r="AG12">
        <v>1</v>
      </c>
      <c r="AH12">
        <v>2</v>
      </c>
      <c r="AI12" s="33">
        <f t="shared" si="3"/>
        <v>75</v>
      </c>
      <c r="AJ12">
        <v>3</v>
      </c>
      <c r="AK12">
        <v>3</v>
      </c>
      <c r="AL12" s="33">
        <f t="shared" si="4"/>
        <v>25</v>
      </c>
      <c r="AM12">
        <v>3</v>
      </c>
      <c r="AN12">
        <v>2</v>
      </c>
      <c r="AO12">
        <v>1</v>
      </c>
      <c r="AP12">
        <v>2</v>
      </c>
      <c r="AQ12">
        <v>3</v>
      </c>
      <c r="AR12" s="20">
        <f t="shared" si="5"/>
        <v>45</v>
      </c>
    </row>
    <row r="13" spans="1:44" x14ac:dyDescent="0.25">
      <c r="A13" s="19" t="s">
        <v>334</v>
      </c>
      <c r="B13">
        <v>2</v>
      </c>
      <c r="C13">
        <v>0</v>
      </c>
      <c r="D13">
        <v>1</v>
      </c>
      <c r="E13">
        <v>0</v>
      </c>
      <c r="F13">
        <v>0</v>
      </c>
      <c r="G13">
        <v>0</v>
      </c>
      <c r="H13">
        <v>1</v>
      </c>
      <c r="I13" s="34">
        <f t="shared" si="0"/>
        <v>85.714285714285708</v>
      </c>
      <c r="J13" s="24">
        <v>1</v>
      </c>
      <c r="K13">
        <v>1</v>
      </c>
      <c r="L13">
        <v>2</v>
      </c>
      <c r="M13">
        <v>1</v>
      </c>
      <c r="N13">
        <v>0</v>
      </c>
      <c r="O13">
        <v>0</v>
      </c>
      <c r="P13">
        <v>1</v>
      </c>
      <c r="Q13">
        <v>0</v>
      </c>
      <c r="R13">
        <v>0</v>
      </c>
      <c r="S13">
        <v>1</v>
      </c>
      <c r="T13" s="20">
        <f t="shared" si="1"/>
        <v>82.5</v>
      </c>
      <c r="U13" s="24">
        <v>0</v>
      </c>
      <c r="V13">
        <v>0</v>
      </c>
      <c r="W13">
        <v>0</v>
      </c>
      <c r="X13">
        <v>0</v>
      </c>
      <c r="Y13">
        <v>0</v>
      </c>
      <c r="Z13" s="20">
        <f t="shared" si="2"/>
        <v>100</v>
      </c>
      <c r="AA13">
        <v>0</v>
      </c>
      <c r="AB13">
        <v>0</v>
      </c>
      <c r="AC13">
        <v>1</v>
      </c>
      <c r="AD13">
        <v>1</v>
      </c>
      <c r="AE13">
        <v>0</v>
      </c>
      <c r="AF13">
        <v>1</v>
      </c>
      <c r="AG13">
        <v>0</v>
      </c>
      <c r="AH13">
        <v>1</v>
      </c>
      <c r="AI13" s="33">
        <f t="shared" si="3"/>
        <v>87.5</v>
      </c>
      <c r="AJ13">
        <v>0</v>
      </c>
      <c r="AK13">
        <v>0</v>
      </c>
      <c r="AL13" s="33">
        <f t="shared" si="4"/>
        <v>100</v>
      </c>
      <c r="AM13">
        <v>1</v>
      </c>
      <c r="AN13">
        <v>2</v>
      </c>
      <c r="AO13">
        <v>1</v>
      </c>
      <c r="AP13">
        <v>0</v>
      </c>
      <c r="AQ13">
        <v>2</v>
      </c>
      <c r="AR13" s="20">
        <f t="shared" si="5"/>
        <v>70</v>
      </c>
    </row>
    <row r="14" spans="1:44" x14ac:dyDescent="0.25">
      <c r="A14" s="19" t="s">
        <v>335</v>
      </c>
      <c r="B14">
        <v>3</v>
      </c>
      <c r="C14">
        <v>3</v>
      </c>
      <c r="D14">
        <v>3</v>
      </c>
      <c r="E14">
        <v>0</v>
      </c>
      <c r="F14">
        <v>2</v>
      </c>
      <c r="G14">
        <v>1</v>
      </c>
      <c r="H14">
        <v>3</v>
      </c>
      <c r="I14" s="34">
        <f t="shared" si="0"/>
        <v>46.428571428571431</v>
      </c>
      <c r="J14" s="24">
        <v>3</v>
      </c>
      <c r="K14">
        <v>2</v>
      </c>
      <c r="L14">
        <v>0</v>
      </c>
      <c r="M14">
        <v>2</v>
      </c>
      <c r="N14">
        <v>0</v>
      </c>
      <c r="O14">
        <v>1</v>
      </c>
      <c r="P14">
        <v>2</v>
      </c>
      <c r="Q14">
        <v>0</v>
      </c>
      <c r="R14">
        <v>0</v>
      </c>
      <c r="S14">
        <v>1</v>
      </c>
      <c r="T14" s="20">
        <f t="shared" si="1"/>
        <v>72.5</v>
      </c>
      <c r="U14" s="24">
        <v>0</v>
      </c>
      <c r="V14">
        <v>1</v>
      </c>
      <c r="W14">
        <v>1</v>
      </c>
      <c r="X14">
        <v>1</v>
      </c>
      <c r="Y14">
        <v>1</v>
      </c>
      <c r="Z14" s="20">
        <f t="shared" si="2"/>
        <v>80</v>
      </c>
      <c r="AA14">
        <v>4</v>
      </c>
      <c r="AB14">
        <v>3</v>
      </c>
      <c r="AC14">
        <v>2</v>
      </c>
      <c r="AD14">
        <v>1</v>
      </c>
      <c r="AE14">
        <v>4</v>
      </c>
      <c r="AF14">
        <v>3</v>
      </c>
      <c r="AG14">
        <v>3</v>
      </c>
      <c r="AH14">
        <v>3</v>
      </c>
      <c r="AI14" s="33">
        <f t="shared" si="3"/>
        <v>28.125</v>
      </c>
      <c r="AJ14">
        <v>4</v>
      </c>
      <c r="AK14">
        <v>4</v>
      </c>
      <c r="AL14" s="33">
        <f t="shared" si="4"/>
        <v>0</v>
      </c>
      <c r="AM14">
        <v>3</v>
      </c>
      <c r="AN14">
        <v>3</v>
      </c>
      <c r="AO14">
        <v>2</v>
      </c>
      <c r="AP14">
        <v>2</v>
      </c>
      <c r="AQ14">
        <v>4</v>
      </c>
      <c r="AR14" s="20">
        <f t="shared" si="5"/>
        <v>30</v>
      </c>
    </row>
    <row r="15" spans="1:44" x14ac:dyDescent="0.25">
      <c r="A15" t="s">
        <v>336</v>
      </c>
      <c r="B15">
        <v>4</v>
      </c>
      <c r="C15">
        <v>2</v>
      </c>
      <c r="D15">
        <v>2</v>
      </c>
      <c r="E15">
        <v>1</v>
      </c>
      <c r="F15">
        <v>1</v>
      </c>
      <c r="G15">
        <v>2</v>
      </c>
      <c r="H15">
        <v>2</v>
      </c>
      <c r="I15" s="35">
        <f t="shared" si="0"/>
        <v>50</v>
      </c>
      <c r="J15" s="24">
        <v>3</v>
      </c>
      <c r="K15">
        <v>1</v>
      </c>
      <c r="L15">
        <v>2</v>
      </c>
      <c r="M15">
        <v>3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 s="20">
        <f t="shared" si="1"/>
        <v>62.5</v>
      </c>
      <c r="U15" s="24">
        <v>0</v>
      </c>
      <c r="V15">
        <v>1</v>
      </c>
      <c r="W15">
        <v>1</v>
      </c>
      <c r="X15">
        <v>1</v>
      </c>
      <c r="Y15">
        <v>1</v>
      </c>
      <c r="Z15" s="20">
        <f t="shared" si="2"/>
        <v>80</v>
      </c>
      <c r="AA15">
        <v>1</v>
      </c>
      <c r="AB15">
        <v>1</v>
      </c>
      <c r="AC15">
        <v>2</v>
      </c>
      <c r="AD15">
        <v>1</v>
      </c>
      <c r="AE15">
        <v>2</v>
      </c>
      <c r="AF15">
        <v>1</v>
      </c>
      <c r="AG15">
        <v>2</v>
      </c>
      <c r="AH15">
        <v>2</v>
      </c>
      <c r="AI15" s="33">
        <f t="shared" si="3"/>
        <v>62.5</v>
      </c>
      <c r="AJ15">
        <v>1</v>
      </c>
      <c r="AK15">
        <v>1</v>
      </c>
      <c r="AL15" s="20">
        <f t="shared" si="4"/>
        <v>75</v>
      </c>
      <c r="AM15">
        <v>3</v>
      </c>
      <c r="AN15">
        <v>1</v>
      </c>
      <c r="AO15">
        <v>1</v>
      </c>
      <c r="AP15">
        <v>2</v>
      </c>
      <c r="AR15" s="20">
        <f t="shared" si="5"/>
        <v>65</v>
      </c>
    </row>
    <row r="16" spans="1:44" x14ac:dyDescent="0.25">
      <c r="A16" s="1" t="s">
        <v>337</v>
      </c>
      <c r="B16">
        <v>3</v>
      </c>
      <c r="C16">
        <v>3</v>
      </c>
      <c r="D16">
        <v>3</v>
      </c>
      <c r="E16">
        <v>3</v>
      </c>
      <c r="F16">
        <v>2</v>
      </c>
      <c r="G16">
        <v>2</v>
      </c>
      <c r="H16">
        <v>4</v>
      </c>
      <c r="I16" s="35">
        <f t="shared" si="0"/>
        <v>28.571428571428569</v>
      </c>
      <c r="J16" s="24">
        <v>3</v>
      </c>
      <c r="K16">
        <v>3</v>
      </c>
      <c r="L16">
        <v>2</v>
      </c>
      <c r="M16">
        <v>4</v>
      </c>
      <c r="N16">
        <v>3</v>
      </c>
      <c r="O16">
        <v>1</v>
      </c>
      <c r="P16">
        <v>3</v>
      </c>
      <c r="Q16">
        <v>1</v>
      </c>
      <c r="R16">
        <v>2</v>
      </c>
      <c r="S16">
        <v>2</v>
      </c>
      <c r="T16" s="20">
        <f t="shared" si="1"/>
        <v>40</v>
      </c>
      <c r="U16" s="24">
        <v>2</v>
      </c>
      <c r="V16">
        <v>3</v>
      </c>
      <c r="W16">
        <v>2</v>
      </c>
      <c r="X16">
        <v>2</v>
      </c>
      <c r="Y16">
        <v>2</v>
      </c>
      <c r="Z16" s="20">
        <f t="shared" si="2"/>
        <v>45</v>
      </c>
      <c r="AA16">
        <v>4</v>
      </c>
      <c r="AB16">
        <v>3</v>
      </c>
      <c r="AC16">
        <v>2</v>
      </c>
      <c r="AD16">
        <v>2</v>
      </c>
      <c r="AE16">
        <v>4</v>
      </c>
      <c r="AF16">
        <v>3</v>
      </c>
      <c r="AG16">
        <v>3</v>
      </c>
      <c r="AH16">
        <v>3</v>
      </c>
      <c r="AI16" s="20">
        <f t="shared" si="3"/>
        <v>25</v>
      </c>
      <c r="AJ16">
        <v>4</v>
      </c>
      <c r="AK16">
        <v>4</v>
      </c>
      <c r="AL16" s="20">
        <f t="shared" si="4"/>
        <v>0</v>
      </c>
      <c r="AM16">
        <v>3</v>
      </c>
      <c r="AN16">
        <v>4</v>
      </c>
      <c r="AO16">
        <v>4</v>
      </c>
      <c r="AP16">
        <v>2</v>
      </c>
      <c r="AQ16">
        <v>3</v>
      </c>
      <c r="AR16" s="20">
        <f t="shared" si="5"/>
        <v>20</v>
      </c>
    </row>
    <row r="17" spans="1:44" x14ac:dyDescent="0.25">
      <c r="I17" s="49"/>
      <c r="T17" s="49"/>
      <c r="Z17" s="49"/>
      <c r="AI17" s="49"/>
      <c r="AL17" s="49"/>
      <c r="AR17" s="49"/>
    </row>
    <row r="18" spans="1:44" x14ac:dyDescent="0.25">
      <c r="I18" s="51"/>
      <c r="T18" s="51"/>
      <c r="Z18" s="51"/>
      <c r="AI18" s="51"/>
      <c r="AL18" s="51"/>
      <c r="AR18" s="51"/>
    </row>
    <row r="19" spans="1:44" x14ac:dyDescent="0.25">
      <c r="A19" s="19" t="s">
        <v>338</v>
      </c>
      <c r="B19" s="25">
        <f t="shared" ref="B19:H19" si="6">AVERAGE(B2:B16)</f>
        <v>2.6</v>
      </c>
      <c r="C19" s="25">
        <f t="shared" si="6"/>
        <v>1.6666666666666667</v>
      </c>
      <c r="D19" s="25">
        <f t="shared" si="6"/>
        <v>1.9333333333333333</v>
      </c>
      <c r="E19" s="25">
        <f t="shared" si="6"/>
        <v>1.0666666666666667</v>
      </c>
      <c r="F19" s="25">
        <f t="shared" si="6"/>
        <v>1.6</v>
      </c>
      <c r="G19" s="25">
        <f t="shared" si="6"/>
        <v>1.2666666666666666</v>
      </c>
      <c r="H19" s="25">
        <f t="shared" si="6"/>
        <v>1.8</v>
      </c>
      <c r="I19" s="51">
        <f>AVERAGE(Table4[Sum_S])</f>
        <v>57.380952380952387</v>
      </c>
      <c r="J19" s="25">
        <f t="shared" ref="J19:AR19" si="7">AVERAGE(J2:J16)</f>
        <v>2.4666666666666668</v>
      </c>
      <c r="K19" s="25">
        <f t="shared" si="7"/>
        <v>1.6666666666666667</v>
      </c>
      <c r="L19" s="25">
        <f t="shared" si="7"/>
        <v>1</v>
      </c>
      <c r="M19" s="25">
        <f t="shared" si="7"/>
        <v>1.8666666666666667</v>
      </c>
      <c r="N19" s="25">
        <f t="shared" si="7"/>
        <v>0.8</v>
      </c>
      <c r="O19" s="25">
        <f t="shared" si="7"/>
        <v>0.66666666666666663</v>
      </c>
      <c r="P19" s="25">
        <f t="shared" si="7"/>
        <v>1.4</v>
      </c>
      <c r="Q19" s="25">
        <f t="shared" si="7"/>
        <v>0.53333333333333333</v>
      </c>
      <c r="R19" s="25">
        <f t="shared" si="7"/>
        <v>0.46666666666666667</v>
      </c>
      <c r="S19" s="25">
        <f t="shared" si="7"/>
        <v>0.73333333333333328</v>
      </c>
      <c r="T19" s="51">
        <f t="shared" si="7"/>
        <v>71</v>
      </c>
      <c r="U19" s="25">
        <f t="shared" si="7"/>
        <v>0.6</v>
      </c>
      <c r="V19" s="25">
        <f t="shared" si="7"/>
        <v>1</v>
      </c>
      <c r="W19" s="25">
        <f t="shared" si="7"/>
        <v>1</v>
      </c>
      <c r="X19" s="25">
        <f t="shared" si="7"/>
        <v>1.1333333333333333</v>
      </c>
      <c r="Y19" s="25">
        <f t="shared" si="7"/>
        <v>1.2</v>
      </c>
      <c r="Z19" s="51">
        <f t="shared" si="7"/>
        <v>75.333333333333329</v>
      </c>
      <c r="AA19" s="25">
        <f t="shared" si="7"/>
        <v>1.7333333333333334</v>
      </c>
      <c r="AB19" s="25">
        <f t="shared" si="7"/>
        <v>1.6666666666666667</v>
      </c>
      <c r="AC19" s="25">
        <f t="shared" si="7"/>
        <v>1.6</v>
      </c>
      <c r="AD19" s="25">
        <f t="shared" si="7"/>
        <v>0.73333333333333328</v>
      </c>
      <c r="AE19" s="25">
        <f t="shared" si="7"/>
        <v>1.5333333333333334</v>
      </c>
      <c r="AF19" s="25">
        <f t="shared" si="7"/>
        <v>1.8666666666666667</v>
      </c>
      <c r="AG19" s="25">
        <f t="shared" si="7"/>
        <v>1.6</v>
      </c>
      <c r="AH19" s="25">
        <f t="shared" si="7"/>
        <v>1.8666666666666667</v>
      </c>
      <c r="AI19" s="51">
        <f t="shared" si="7"/>
        <v>60.625</v>
      </c>
      <c r="AJ19" s="25">
        <f t="shared" si="7"/>
        <v>2.1333333333333333</v>
      </c>
      <c r="AK19" s="25">
        <f t="shared" si="7"/>
        <v>2.4666666666666668</v>
      </c>
      <c r="AL19" s="51">
        <f t="shared" si="7"/>
        <v>42.5</v>
      </c>
      <c r="AM19" s="25">
        <f t="shared" si="7"/>
        <v>2.6666666666666665</v>
      </c>
      <c r="AN19" s="25">
        <f t="shared" si="7"/>
        <v>1.9333333333333333</v>
      </c>
      <c r="AO19" s="25">
        <f t="shared" si="7"/>
        <v>1.7333333333333334</v>
      </c>
      <c r="AP19" s="25">
        <f t="shared" si="7"/>
        <v>1.8</v>
      </c>
      <c r="AQ19" s="25">
        <f t="shared" si="7"/>
        <v>2.5</v>
      </c>
      <c r="AR19" s="51">
        <f t="shared" si="7"/>
        <v>47.666666666666664</v>
      </c>
    </row>
    <row r="20" spans="1:44" x14ac:dyDescent="0.25">
      <c r="A20" s="19" t="s">
        <v>339</v>
      </c>
      <c r="B20" s="36">
        <f t="shared" ref="B20:H20" si="8">MEDIAN(B2:B16)</f>
        <v>3</v>
      </c>
      <c r="C20" s="36">
        <f t="shared" si="8"/>
        <v>2</v>
      </c>
      <c r="D20" s="36">
        <f t="shared" si="8"/>
        <v>2</v>
      </c>
      <c r="E20" s="36">
        <f t="shared" si="8"/>
        <v>1</v>
      </c>
      <c r="F20" s="36">
        <f t="shared" si="8"/>
        <v>2</v>
      </c>
      <c r="G20" s="36">
        <f t="shared" si="8"/>
        <v>1</v>
      </c>
      <c r="H20" s="36">
        <f t="shared" si="8"/>
        <v>2</v>
      </c>
      <c r="I20" s="51">
        <f>MEDIAN(Table4[Sum_S])</f>
        <v>50</v>
      </c>
      <c r="J20" s="36">
        <f t="shared" ref="J20:AR20" si="9">MEDIAN(J2:J16)</f>
        <v>3</v>
      </c>
      <c r="K20" s="36">
        <f t="shared" si="9"/>
        <v>2</v>
      </c>
      <c r="L20" s="36">
        <f t="shared" si="9"/>
        <v>1</v>
      </c>
      <c r="M20" s="36">
        <f t="shared" si="9"/>
        <v>2</v>
      </c>
      <c r="N20" s="36">
        <f t="shared" si="9"/>
        <v>1</v>
      </c>
      <c r="O20" s="36">
        <f t="shared" si="9"/>
        <v>1</v>
      </c>
      <c r="P20" s="36">
        <f t="shared" si="9"/>
        <v>1</v>
      </c>
      <c r="Q20" s="36">
        <f t="shared" si="9"/>
        <v>0</v>
      </c>
      <c r="R20" s="36">
        <f t="shared" si="9"/>
        <v>0</v>
      </c>
      <c r="S20" s="36">
        <f t="shared" si="9"/>
        <v>1</v>
      </c>
      <c r="T20" s="51">
        <f t="shared" si="9"/>
        <v>72.5</v>
      </c>
      <c r="U20" s="36">
        <f t="shared" si="9"/>
        <v>0</v>
      </c>
      <c r="V20" s="36">
        <f t="shared" si="9"/>
        <v>1</v>
      </c>
      <c r="W20" s="36">
        <f t="shared" si="9"/>
        <v>1</v>
      </c>
      <c r="X20" s="36">
        <f t="shared" si="9"/>
        <v>1</v>
      </c>
      <c r="Y20" s="36">
        <f t="shared" si="9"/>
        <v>1</v>
      </c>
      <c r="Z20" s="51">
        <f t="shared" si="9"/>
        <v>80</v>
      </c>
      <c r="AA20" s="36">
        <f t="shared" si="9"/>
        <v>1</v>
      </c>
      <c r="AB20" s="36">
        <f t="shared" si="9"/>
        <v>2</v>
      </c>
      <c r="AC20" s="36">
        <f t="shared" si="9"/>
        <v>2</v>
      </c>
      <c r="AD20" s="36">
        <f t="shared" si="9"/>
        <v>1</v>
      </c>
      <c r="AE20" s="36">
        <f t="shared" si="9"/>
        <v>1</v>
      </c>
      <c r="AF20" s="36">
        <f t="shared" si="9"/>
        <v>2</v>
      </c>
      <c r="AG20" s="36">
        <f t="shared" si="9"/>
        <v>2</v>
      </c>
      <c r="AH20" s="36">
        <f t="shared" si="9"/>
        <v>2</v>
      </c>
      <c r="AI20" s="51">
        <f t="shared" si="9"/>
        <v>65.625</v>
      </c>
      <c r="AJ20" s="36">
        <f t="shared" si="9"/>
        <v>2</v>
      </c>
      <c r="AK20" s="36">
        <f t="shared" si="9"/>
        <v>2</v>
      </c>
      <c r="AL20" s="51">
        <f t="shared" si="9"/>
        <v>50</v>
      </c>
      <c r="AM20" s="36">
        <f t="shared" si="9"/>
        <v>3</v>
      </c>
      <c r="AN20" s="36">
        <f t="shared" si="9"/>
        <v>2</v>
      </c>
      <c r="AO20" s="36">
        <f t="shared" si="9"/>
        <v>2</v>
      </c>
      <c r="AP20" s="36">
        <f t="shared" si="9"/>
        <v>2</v>
      </c>
      <c r="AQ20" s="36">
        <f t="shared" si="9"/>
        <v>2.5</v>
      </c>
      <c r="AR20" s="51">
        <f t="shared" si="9"/>
        <v>45</v>
      </c>
    </row>
    <row r="21" spans="1:44" x14ac:dyDescent="0.25">
      <c r="A21" s="19" t="s">
        <v>340</v>
      </c>
      <c r="B21" s="36">
        <f t="shared" ref="B21:H21" si="10">COUNTIF(B2:B16,"&gt;0")/COUNTA(B2:B16)*100</f>
        <v>100</v>
      </c>
      <c r="C21" s="36">
        <f t="shared" si="10"/>
        <v>73.333333333333329</v>
      </c>
      <c r="D21" s="36">
        <f t="shared" si="10"/>
        <v>93.333333333333329</v>
      </c>
      <c r="E21" s="36">
        <f t="shared" si="10"/>
        <v>66.666666666666657</v>
      </c>
      <c r="F21" s="36">
        <f t="shared" si="10"/>
        <v>86.666666666666671</v>
      </c>
      <c r="G21" s="36">
        <f t="shared" si="10"/>
        <v>80</v>
      </c>
      <c r="H21" s="36">
        <f t="shared" si="10"/>
        <v>86.666666666666671</v>
      </c>
      <c r="I21" s="51"/>
      <c r="J21" s="36">
        <f t="shared" ref="J21:S21" si="11">COUNTIF(J2:J16,"&gt;0")/COUNTA(J2:J16)*100</f>
        <v>100</v>
      </c>
      <c r="K21" s="36">
        <f t="shared" si="11"/>
        <v>86.666666666666671</v>
      </c>
      <c r="L21" s="36">
        <f t="shared" si="11"/>
        <v>73.333333333333329</v>
      </c>
      <c r="M21" s="36">
        <f t="shared" si="11"/>
        <v>93.333333333333329</v>
      </c>
      <c r="N21" s="36">
        <f t="shared" si="11"/>
        <v>53.333333333333336</v>
      </c>
      <c r="O21" s="36">
        <f t="shared" si="11"/>
        <v>60</v>
      </c>
      <c r="P21" s="36">
        <f t="shared" si="11"/>
        <v>80</v>
      </c>
      <c r="Q21" s="36">
        <f t="shared" si="11"/>
        <v>46.666666666666664</v>
      </c>
      <c r="R21" s="36">
        <f t="shared" si="11"/>
        <v>33.333333333333329</v>
      </c>
      <c r="S21" s="36">
        <f t="shared" si="11"/>
        <v>60</v>
      </c>
      <c r="T21" s="51"/>
      <c r="U21" s="36">
        <f>COUNTIF(U2:U16,"&gt;0")/COUNTA(U2:U16)*100</f>
        <v>46.666666666666664</v>
      </c>
      <c r="V21" s="36">
        <f>COUNTIF(V2:V16,"&gt;0")/COUNTA(V2:V16)*100</f>
        <v>73.333333333333329</v>
      </c>
      <c r="W21" s="36">
        <f>COUNTIF(W2:W16,"&gt;0")/COUNTA(W2:W16)*100</f>
        <v>73.333333333333329</v>
      </c>
      <c r="X21" s="36">
        <f>COUNTIF(X2:X16,"&gt;0")/COUNTA(X2:X16)*100</f>
        <v>80</v>
      </c>
      <c r="Y21" s="36">
        <f>COUNTIF(Y2:Y16,"&gt;0")/COUNTA(Y2:Y16)*100</f>
        <v>86.666666666666671</v>
      </c>
      <c r="Z21" s="51"/>
      <c r="AA21" s="36">
        <f t="shared" ref="AA21:AH21" si="12">COUNTIF(AA2:AA16,"&gt;0")/COUNTA(AA2:AA16)*100</f>
        <v>93.333333333333329</v>
      </c>
      <c r="AB21" s="36">
        <f t="shared" si="12"/>
        <v>86.666666666666671</v>
      </c>
      <c r="AC21" s="36">
        <f t="shared" si="12"/>
        <v>93.333333333333329</v>
      </c>
      <c r="AD21" s="36">
        <f t="shared" si="12"/>
        <v>60</v>
      </c>
      <c r="AE21" s="36">
        <f t="shared" si="12"/>
        <v>66.666666666666657</v>
      </c>
      <c r="AF21" s="36">
        <f t="shared" si="12"/>
        <v>93.333333333333329</v>
      </c>
      <c r="AG21" s="36">
        <f t="shared" si="12"/>
        <v>93.333333333333329</v>
      </c>
      <c r="AH21" s="36">
        <f t="shared" si="12"/>
        <v>93.333333333333329</v>
      </c>
      <c r="AI21" s="51"/>
      <c r="AJ21" s="36">
        <f>COUNTIF(AJ2:AJ16,"&gt;0")/COUNTA(AJ2:AJ16)*100</f>
        <v>86.666666666666671</v>
      </c>
      <c r="AK21" s="36">
        <f>COUNTIF(AK2:AK16,"&gt;0")/COUNTA(AK2:AK16)*100</f>
        <v>93.333333333333329</v>
      </c>
      <c r="AL21" s="51"/>
      <c r="AM21" s="36">
        <f>COUNTIF(AM2:AM16,"&gt;0")/COUNTA(AM2:AM16)*100</f>
        <v>100</v>
      </c>
      <c r="AN21" s="36">
        <f>COUNTIF(AN2:AN16,"&gt;0")/COUNTA(AN2:AN16)*100</f>
        <v>86.666666666666671</v>
      </c>
      <c r="AO21" s="36">
        <f>COUNTIF(AO2:AO16,"&gt;0")/COUNTA(AO2:AO16)*100</f>
        <v>100</v>
      </c>
      <c r="AP21" s="36">
        <f>COUNTIF(AP2:AP16,"&gt;0")/COUNTA(AP2:AP16)*100</f>
        <v>86.666666666666671</v>
      </c>
      <c r="AQ21" s="36">
        <f>COUNTIF(AQ2:AQ16,"&gt;0")/COUNTA(AQ2:AQ16)*100</f>
        <v>100</v>
      </c>
      <c r="AR21" s="51"/>
    </row>
    <row r="22" spans="1:44" x14ac:dyDescent="0.25">
      <c r="A22" s="19" t="s">
        <v>275</v>
      </c>
      <c r="B22" s="25">
        <f>_xlfn.STDEV.S(Table4[S1. Do you feel discomfort in your hip and/or groin?])</f>
        <v>0.63245553203367555</v>
      </c>
      <c r="C22" s="25">
        <f>_xlfn.STDEV.S(Table4[S2. Do you hear clicking or any other type of noise from your hip and/or groin?])</f>
        <v>1.2344267996967353</v>
      </c>
      <c r="D22" s="25">
        <f>_xlfn.STDEV.S(Table4[S3. Do you have any difficulties stretching your legs far out to the side?])</f>
        <v>0.88371510168853673</v>
      </c>
      <c r="E22" s="25">
        <f>_xlfn.STDEV.S(Table4[S4. Do you have any difficulties taking full strides when you walk?])</f>
        <v>0.96115010472325491</v>
      </c>
      <c r="F22" s="25">
        <f>_xlfn.STDEV.S(Table4[S5. Do you experience sudden twinging/ stabbing sensations in your hip and/or groin?])</f>
        <v>0.82807867121082512</v>
      </c>
      <c r="G22" s="25">
        <f>_xlfn.STDEV.S(Table4[S6. How severe is your hip and/or groin after first awakening in the morning?])</f>
        <v>0.7988086367179803</v>
      </c>
      <c r="H22" s="25">
        <f>_xlfn.STDEV.S(Table4[S7. How severe is your hip and/or groin stiffness after sitting, lying or resting later in the day?])</f>
        <v>1.082325538564332</v>
      </c>
      <c r="I22" s="51">
        <f>_xlfn.STDEV.S(Table4[Sum_S])</f>
        <v>17.046212840570334</v>
      </c>
      <c r="J22" s="25">
        <f>_xlfn.STDEV.S(Table4[P1. How often is your hip and/or groin painful?])</f>
        <v>0.83380938783279201</v>
      </c>
      <c r="K22" s="25">
        <f>_xlfn.STDEV.S(Table4[P2. How often do you have pain in areas other than your hip and/or groin that you think may be related to your hip and/or groin problem?])</f>
        <v>0.97590007294853331</v>
      </c>
      <c r="L22" s="25">
        <f>_xlfn.STDEV.S(Table4[P3. Straightening your hip fully])</f>
        <v>0.7559289460184544</v>
      </c>
      <c r="M22" s="25">
        <f>_xlfn.STDEV.S(Table4[P4. Bending your hip fully])</f>
        <v>0.99043040187202502</v>
      </c>
      <c r="N22" s="25">
        <f>_xlfn.STDEV.S(Table4[P5. Walking up or down stairs])</f>
        <v>0.94112394811432032</v>
      </c>
      <c r="O22" s="25">
        <f>_xlfn.STDEV.S(Table4[P6. At night while in bed (pain that disturbs your sleep)])</f>
        <v>0.61721339984836765</v>
      </c>
      <c r="P22" s="25">
        <f>_xlfn.STDEV.S(Table4[P7. Sitting or lying])</f>
        <v>0.98561076060916231</v>
      </c>
      <c r="Q22" s="25">
        <f>_xlfn.STDEV.S(Table4[P8. Standing upright])</f>
        <v>0.63994047342218441</v>
      </c>
      <c r="R22" s="25">
        <f>_xlfn.STDEV.S(Table4[P9. Walking on a hard surface (asphalt, concrete, etc.)])</f>
        <v>0.74322335295720654</v>
      </c>
      <c r="S22" s="25">
        <f>_xlfn.STDEV.S(Table4[P10. Walking on an uneven surface])</f>
        <v>0.70373155054899683</v>
      </c>
      <c r="T22" s="51">
        <f>_xlfn.STDEV.S(Table4[Sum_P])</f>
        <v>12.457069134775299</v>
      </c>
      <c r="U22" s="25">
        <f>_xlfn.STDEV.S(Table4[A1. Walking up stairs])</f>
        <v>0.73678839761300718</v>
      </c>
      <c r="V22" s="25">
        <f>_xlfn.STDEV.S(Table4[A2. Bending down, e.g. to pick something up from the floor])</f>
        <v>0.84515425472851657</v>
      </c>
      <c r="W22" s="25">
        <f>_xlfn.STDEV.S(Table4[A3. Getting in/out of car])</f>
        <v>0.7559289460184544</v>
      </c>
      <c r="X22" s="25">
        <f>_xlfn.STDEV.S(Table4[A4. Lying in bed (turning over or maintaining the same hip position for a long time)])</f>
        <v>0.83380938783279201</v>
      </c>
      <c r="Y22" s="25">
        <f>_xlfn.STDEV.S(Table4[A5. Heavy domestic duties (scrubbing floors, vacuuming, moving heavy boxes etc.)])</f>
        <v>0.67612340378281321</v>
      </c>
      <c r="Z22" s="51">
        <f>_xlfn.STDEV.S(Table4[Sum_A])</f>
        <v>15.63725709719608</v>
      </c>
      <c r="AA22" s="25">
        <f>_xlfn.STDEV.S(Table4[SP1. Squatting])</f>
        <v>1.2227992865708153</v>
      </c>
      <c r="AB22" s="25">
        <f>_xlfn.STDEV.S(Table4[SP2. Running])</f>
        <v>1.0465362369445672</v>
      </c>
      <c r="AC22" s="25">
        <f>_xlfn.STDEV.S(Table4[SP3. Twisting/pivoting on a weight bearing leg])</f>
        <v>0.7367883976130073</v>
      </c>
      <c r="AD22" s="25">
        <f>_xlfn.STDEV.S(Table4[SP4. Walking on an uneven surface])</f>
        <v>0.70373155054899683</v>
      </c>
      <c r="AE22" s="25">
        <f>_xlfn.STDEV.S(Table4[SP5. Running as fast as you can])</f>
        <v>1.4573295865416045</v>
      </c>
      <c r="AF22" s="25">
        <f>_xlfn.STDEV.S(Table4[SP6. Bringing the leg forcefully forward and/or out to the side, such as in kicking, skating etc.])</f>
        <v>0.83380938783279201</v>
      </c>
      <c r="AG22" s="25">
        <f>_xlfn.STDEV.S(Table4[SP7. Sudden explosive movements that involve quick footwork, such as accelerations, decelerations, change of direction etc.])</f>
        <v>0.82807867121082512</v>
      </c>
      <c r="AH22" s="25">
        <f>_xlfn.STDEV.S(Table4[SP8. Situations where the leg is stretched into an outer position (such as when the leg is placed as far away from the body as possible)])</f>
        <v>0.83380938783279201</v>
      </c>
      <c r="AI22" s="51">
        <f>_xlfn.STDEV.S(Table4[Sum_SP])</f>
        <v>19.183966054271171</v>
      </c>
      <c r="AJ22" s="25">
        <f>_xlfn.STDEV.S(Table4[PA1. Are you able to participate in your preferred physical activities for as long as you would like?])</f>
        <v>1.4074631010979937</v>
      </c>
      <c r="AK22" s="25">
        <f>_xlfn.STDEV.S(Table4[PA2. Are you able to participate in your preferred physical activities at your normal performance level?])</f>
        <v>1.4573295865416045</v>
      </c>
      <c r="AL22" s="51">
        <f>_xlfn.STDEV.S(Table4[Sum_PA])</f>
        <v>35.292148054287004</v>
      </c>
      <c r="AM22" s="25">
        <f>_xlfn.STDEV.S(Table4[Q1. How often are you aware of your hip and/or groin problem?])</f>
        <v>0.97590007294853298</v>
      </c>
      <c r="AN22" s="25">
        <f>_xlfn.STDEV.S(Table4[Q2. Have you modified your life style to avoid activities potentially damaging to your hip and/or groin?])</f>
        <v>1.2227992865708153</v>
      </c>
      <c r="AO22" s="25">
        <f>_xlfn.STDEV.S(Table4[Q3. In general, how much difficulty do you have with your hip and/or groin?])</f>
        <v>0.88371510168853673</v>
      </c>
      <c r="AP22" s="25">
        <f>_xlfn.STDEV.S(Table4[Q4. Does your hip and/or groin problem affect your mood in a negative way?])</f>
        <v>1.0141851056742199</v>
      </c>
      <c r="AQ22" s="25">
        <f>_xlfn.STDEV.S(Table4[Q5. Do you feel restricted due to your hip and/or groin problem?])</f>
        <v>0.75955452531274992</v>
      </c>
      <c r="AR22" s="51">
        <f>_xlfn.STDEV.S(Table4[Sum_Q])</f>
        <v>20.254335220838414</v>
      </c>
    </row>
    <row r="23" spans="1:44" x14ac:dyDescent="0.25">
      <c r="A23" s="19" t="s">
        <v>341</v>
      </c>
      <c r="B23" s="25">
        <f>MIN(Table4[S1. Do you feel discomfort in your hip and/or groin?])</f>
        <v>2</v>
      </c>
      <c r="C23" s="25">
        <f>MIN(Table4[S2. Do you hear clicking or any other type of noise from your hip and/or groin?])</f>
        <v>0</v>
      </c>
      <c r="D23" s="25">
        <f>MIN(Table4[S3. Do you have any difficulties stretching your legs far out to the side?])</f>
        <v>0</v>
      </c>
      <c r="E23" s="25">
        <f>MIN(Table4[S4. Do you have any difficulties taking full strides when you walk?])</f>
        <v>0</v>
      </c>
      <c r="F23" s="25">
        <f>MIN(Table4[S5. Do you experience sudden twinging/ stabbing sensations in your hip and/or groin?])</f>
        <v>0</v>
      </c>
      <c r="G23" s="25">
        <f>MIN(Table4[S6. How severe is your hip and/or groin after first awakening in the morning?])</f>
        <v>0</v>
      </c>
      <c r="H23" s="25">
        <f>MIN(Table4[S7. How severe is your hip and/or groin stiffness after sitting, lying or resting later in the day?])</f>
        <v>0</v>
      </c>
      <c r="I23" s="51">
        <f>MIN(Table4[Sum_S])</f>
        <v>28.571428571428569</v>
      </c>
      <c r="J23" s="25">
        <f>MIN(Table4[P1. How often is your hip and/or groin painful?])</f>
        <v>1</v>
      </c>
      <c r="K23" s="25">
        <f>MIN(Table4[P2. How often do you have pain in areas other than your hip and/or groin that you think may be related to your hip and/or groin problem?])</f>
        <v>0</v>
      </c>
      <c r="L23" s="25">
        <f>MIN(Table4[P3. Straightening your hip fully])</f>
        <v>0</v>
      </c>
      <c r="M23" s="25">
        <f>MIN(Table4[P4. Bending your hip fully])</f>
        <v>0</v>
      </c>
      <c r="N23" s="25">
        <f>MIN(Table4[P5. Walking up or down stairs])</f>
        <v>0</v>
      </c>
      <c r="O23" s="25">
        <f>MIN(Table4[P6. At night while in bed (pain that disturbs your sleep)])</f>
        <v>0</v>
      </c>
      <c r="P23" s="25">
        <f>MIN(Table4[P7. Sitting or lying])</f>
        <v>0</v>
      </c>
      <c r="Q23" s="25">
        <f>MIN(Table4[P8. Standing upright])</f>
        <v>0</v>
      </c>
      <c r="R23" s="25">
        <f>MIN(Table4[P9. Walking on a hard surface (asphalt, concrete, etc.)])</f>
        <v>0</v>
      </c>
      <c r="S23" s="25">
        <f>MIN(Table4[P10. Walking on an uneven surface])</f>
        <v>0</v>
      </c>
      <c r="T23" s="51">
        <f>MIN(Table4[Sum_P])</f>
        <v>40</v>
      </c>
      <c r="U23" s="25">
        <f>MIN(Table4[A1. Walking up stairs])</f>
        <v>0</v>
      </c>
      <c r="V23" s="25">
        <f>MIN(Table4[A2. Bending down, e.g. to pick something up from the floor])</f>
        <v>0</v>
      </c>
      <c r="W23" s="25">
        <f>MIN(Table4[A3. Getting in/out of car])</f>
        <v>0</v>
      </c>
      <c r="X23" s="25">
        <f>MIN(Table4[A4. Lying in bed (turning over or maintaining the same hip position for a long time)])</f>
        <v>0</v>
      </c>
      <c r="Y23" s="25">
        <f>MIN(Table4[A5. Heavy domestic duties (scrubbing floors, vacuuming, moving heavy boxes etc.)])</f>
        <v>0</v>
      </c>
      <c r="Z23" s="51">
        <f>MIN(Table4[Sum_A])</f>
        <v>45</v>
      </c>
      <c r="AA23" s="25">
        <f>MIN(Table4[SP1. Squatting])</f>
        <v>0</v>
      </c>
      <c r="AB23" s="25">
        <f>MIN(Table4[SP2. Running])</f>
        <v>0</v>
      </c>
      <c r="AC23" s="25">
        <f>MIN(Table4[SP3. Twisting/pivoting on a weight bearing leg])</f>
        <v>0</v>
      </c>
      <c r="AD23" s="25">
        <f>MIN(Table4[SP4. Walking on an uneven surface])</f>
        <v>0</v>
      </c>
      <c r="AE23" s="25">
        <f>MIN(Table4[SP5. Running as fast as you can])</f>
        <v>0</v>
      </c>
      <c r="AF23" s="25">
        <f>MIN(Table4[SP6. Bringing the leg forcefully forward and/or out to the side, such as in kicking, skating etc.])</f>
        <v>0</v>
      </c>
      <c r="AG23" s="25">
        <f>MIN(Table4[SP7. Sudden explosive movements that involve quick footwork, such as accelerations, decelerations, change of direction etc.])</f>
        <v>0</v>
      </c>
      <c r="AH23" s="25">
        <f>MIN(Table4[SP8. Situations where the leg is stretched into an outer position (such as when the leg is placed as far away from the body as possible)])</f>
        <v>0</v>
      </c>
      <c r="AI23" s="51">
        <f>MIN(Table4[Sum_SP])</f>
        <v>25</v>
      </c>
      <c r="AJ23" s="25">
        <f>MIN(Table4[PA1. Are you able to participate in your preferred physical activities for as long as you would like?])</f>
        <v>0</v>
      </c>
      <c r="AK23" s="25">
        <f>MIN(Table4[PA2. Are you able to participate in your preferred physical activities at your normal performance level?])</f>
        <v>0</v>
      </c>
      <c r="AL23" s="51">
        <f>MIN(Table4[Sum_PA])</f>
        <v>0</v>
      </c>
      <c r="AM23" s="25">
        <f>MIN(Table4[Q1. How often are you aware of your hip and/or groin problem?])</f>
        <v>1</v>
      </c>
      <c r="AN23" s="25">
        <f>MIN(Table4[Q2. Have you modified your life style to avoid activities potentially damaging to your hip and/or groin?])</f>
        <v>0</v>
      </c>
      <c r="AO23" s="25">
        <f>MIN(Table4[Q3. In general, how much difficulty do you have with your hip and/or groin?])</f>
        <v>1</v>
      </c>
      <c r="AP23" s="25">
        <f>MIN(Table4[Q4. Does your hip and/or groin problem affect your mood in a negative way?])</f>
        <v>0</v>
      </c>
      <c r="AQ23" s="25">
        <f>MIN(Table4[Q5. Do you feel restricted due to your hip and/or groin problem?])</f>
        <v>1</v>
      </c>
      <c r="AR23" s="51">
        <f>MIN(Table4[Sum_Q])</f>
        <v>20</v>
      </c>
    </row>
    <row r="24" spans="1:44" x14ac:dyDescent="0.25">
      <c r="A24" s="19" t="s">
        <v>278</v>
      </c>
      <c r="B24" s="25">
        <f>MAX(Table4[S1. Do you feel discomfort in your hip and/or groin?])</f>
        <v>4</v>
      </c>
      <c r="C24" s="25">
        <f>MAX(Table4[S2. Do you hear clicking or any other type of noise from your hip and/or groin?])</f>
        <v>3</v>
      </c>
      <c r="D24" s="25">
        <f>MAX(Table4[S3. Do you have any difficulties stretching your legs far out to the side?])</f>
        <v>3</v>
      </c>
      <c r="E24" s="25">
        <f>MAX(Table4[S4. Do you have any difficulties taking full strides when you walk?])</f>
        <v>3</v>
      </c>
      <c r="F24" s="25">
        <f>MAX(Table4[S5. Do you experience sudden twinging/ stabbing sensations in your hip and/or groin?])</f>
        <v>3</v>
      </c>
      <c r="G24" s="25">
        <f>MAX(Table4[S6. How severe is your hip and/or groin after first awakening in the morning?])</f>
        <v>2</v>
      </c>
      <c r="H24" s="25">
        <f>MAX(Table4[S7. How severe is your hip and/or groin stiffness after sitting, lying or resting later in the day?])</f>
        <v>4</v>
      </c>
      <c r="I24" s="51">
        <f>MAX(Table4[Sum_S])</f>
        <v>92.857142857142861</v>
      </c>
      <c r="J24" s="25">
        <f>MAX(Table4[P1. How often is your hip and/or groin painful?])</f>
        <v>4</v>
      </c>
      <c r="K24" s="25">
        <f>MAX(Table4[P2. How often do you have pain in areas other than your hip and/or groin that you think may be related to your hip and/or groin problem?])</f>
        <v>3</v>
      </c>
      <c r="L24" s="25">
        <f>MAX(Table4[P3. Straightening your hip fully])</f>
        <v>2</v>
      </c>
      <c r="M24" s="25">
        <f>MAX(Table4[P4. Bending your hip fully])</f>
        <v>4</v>
      </c>
      <c r="N24" s="25">
        <f>MAX(Table4[P5. Walking up or down stairs])</f>
        <v>3</v>
      </c>
      <c r="O24" s="25">
        <f>MAX(Table4[P6. At night while in bed (pain that disturbs your sleep)])</f>
        <v>2</v>
      </c>
      <c r="P24" s="25">
        <f>MAX(Table4[P7. Sitting or lying])</f>
        <v>3</v>
      </c>
      <c r="Q24" s="25">
        <f>MAX(Table4[P8. Standing upright])</f>
        <v>2</v>
      </c>
      <c r="R24" s="25">
        <f>MAX(Table4[P9. Walking on a hard surface (asphalt, concrete, etc.)])</f>
        <v>2</v>
      </c>
      <c r="S24" s="25">
        <f>MAX(Table4[P10. Walking on an uneven surface])</f>
        <v>2</v>
      </c>
      <c r="T24" s="51">
        <f>MAX(Table4[Sum_P])</f>
        <v>85</v>
      </c>
      <c r="U24" s="25">
        <f>MAX(Table4[A1. Walking up stairs])</f>
        <v>2</v>
      </c>
      <c r="V24" s="25">
        <f>MAX(Table4[A2. Bending down, e.g. to pick something up from the floor])</f>
        <v>3</v>
      </c>
      <c r="W24" s="25">
        <f>MAX(Table4[A3. Getting in/out of car])</f>
        <v>2</v>
      </c>
      <c r="X24" s="25">
        <f>MAX(Table4[A4. Lying in bed (turning over or maintaining the same hip position for a long time)])</f>
        <v>3</v>
      </c>
      <c r="Y24" s="25">
        <f>MAX(Table4[A5. Heavy domestic duties (scrubbing floors, vacuuming, moving heavy boxes etc.)])</f>
        <v>2</v>
      </c>
      <c r="Z24" s="51">
        <f>MAX(Table4[Sum_A])</f>
        <v>100</v>
      </c>
      <c r="AA24" s="25">
        <f>MAX(Table4[SP1. Squatting])</f>
        <v>4</v>
      </c>
      <c r="AB24" s="25">
        <f>MAX(Table4[SP2. Running])</f>
        <v>3</v>
      </c>
      <c r="AC24" s="25">
        <f>MAX(Table4[SP3. Twisting/pivoting on a weight bearing leg])</f>
        <v>3</v>
      </c>
      <c r="AD24" s="25">
        <f>MAX(Table4[SP4. Walking on an uneven surface])</f>
        <v>2</v>
      </c>
      <c r="AE24" s="25">
        <f>MAX(Table4[SP5. Running as fast as you can])</f>
        <v>4</v>
      </c>
      <c r="AF24" s="25">
        <f>MAX(Table4[SP6. Bringing the leg forcefully forward and/or out to the side, such as in kicking, skating etc.])</f>
        <v>3</v>
      </c>
      <c r="AG24" s="25">
        <f>MAX(Table4[SP7. Sudden explosive movements that involve quick footwork, such as accelerations, decelerations, change of direction etc.])</f>
        <v>3</v>
      </c>
      <c r="AH24" s="25">
        <f>MAX(Table4[SP8. Situations where the leg is stretched into an outer position (such as when the leg is placed as far away from the body as possible)])</f>
        <v>3</v>
      </c>
      <c r="AI24" s="51">
        <f>MAX(Table4[Sum_SP])</f>
        <v>87.5</v>
      </c>
      <c r="AJ24" s="25">
        <f>MAX(Table4[PA1. Are you able to participate in your preferred physical activities for as long as you would like?])</f>
        <v>4</v>
      </c>
      <c r="AK24" s="25">
        <f>MAX(Table4[PA2. Are you able to participate in your preferred physical activities at your normal performance level?])</f>
        <v>4</v>
      </c>
      <c r="AL24" s="51">
        <f>MAX(Table4[Sum_PA])</f>
        <v>100</v>
      </c>
      <c r="AM24" s="25">
        <f>MAX(Table4[Q1. How often are you aware of your hip and/or groin problem?])</f>
        <v>4</v>
      </c>
      <c r="AN24" s="25">
        <f>MAX(Table4[Q2. Have you modified your life style to avoid activities potentially damaging to your hip and/or groin?])</f>
        <v>4</v>
      </c>
      <c r="AO24" s="25">
        <f>MAX(Table4[Q3. In general, how much difficulty do you have with your hip and/or groin?])</f>
        <v>4</v>
      </c>
      <c r="AP24" s="25">
        <f>MAX(Table4[Q4. Does your hip and/or groin problem affect your mood in a negative way?])</f>
        <v>3</v>
      </c>
      <c r="AQ24" s="25">
        <f>MAX(Table4[Q5. Do you feel restricted due to your hip and/or groin problem?])</f>
        <v>4</v>
      </c>
      <c r="AR24" s="51">
        <f>MAX(Table4[Sum_Q])</f>
        <v>85</v>
      </c>
    </row>
  </sheetData>
  <pageMargins left="0.7" right="0.7" top="0.75" bottom="0.75" header="0.3" footer="0.3"/>
  <pageSetup orientation="portrait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80"/>
  <sheetViews>
    <sheetView workbookViewId="0">
      <pane xSplit="2" ySplit="50" topLeftCell="L51" activePane="bottomRight" state="frozen"/>
      <selection pane="topRight" activeCell="C1" sqref="C1"/>
      <selection pane="bottomLeft" activeCell="A51" sqref="A51"/>
      <selection pane="bottomRight" activeCell="P62" sqref="P62"/>
    </sheetView>
  </sheetViews>
  <sheetFormatPr defaultColWidth="8.7109375" defaultRowHeight="15" x14ac:dyDescent="0.25"/>
  <cols>
    <col min="1" max="1" width="10" bestFit="1" customWidth="1"/>
    <col min="2" max="2" width="9.42578125" bestFit="1" customWidth="1"/>
    <col min="6" max="6" width="10" customWidth="1"/>
  </cols>
  <sheetData>
    <row r="1" spans="1:33" x14ac:dyDescent="0.25">
      <c r="A1" t="s">
        <v>0</v>
      </c>
      <c r="B1" t="s">
        <v>342</v>
      </c>
      <c r="C1" t="s">
        <v>220</v>
      </c>
      <c r="D1" t="s">
        <v>343</v>
      </c>
      <c r="E1" t="s">
        <v>344</v>
      </c>
      <c r="F1" t="s">
        <v>345</v>
      </c>
      <c r="G1" t="s">
        <v>346</v>
      </c>
      <c r="H1" t="s">
        <v>347</v>
      </c>
      <c r="I1" t="s">
        <v>348</v>
      </c>
      <c r="J1" t="s">
        <v>349</v>
      </c>
      <c r="K1" t="s">
        <v>350</v>
      </c>
      <c r="L1" t="s">
        <v>351</v>
      </c>
      <c r="M1" t="s">
        <v>352</v>
      </c>
      <c r="N1" t="s">
        <v>353</v>
      </c>
      <c r="O1" t="s">
        <v>354</v>
      </c>
      <c r="P1" t="s">
        <v>355</v>
      </c>
      <c r="Q1" t="s">
        <v>356</v>
      </c>
      <c r="R1" t="s">
        <v>357</v>
      </c>
      <c r="S1" t="s">
        <v>358</v>
      </c>
      <c r="T1" t="s">
        <v>359</v>
      </c>
      <c r="U1" t="s">
        <v>360</v>
      </c>
      <c r="V1" s="42" t="s">
        <v>361</v>
      </c>
      <c r="W1" s="42" t="s">
        <v>362</v>
      </c>
      <c r="X1" s="42" t="s">
        <v>363</v>
      </c>
      <c r="Y1" s="42" t="s">
        <v>364</v>
      </c>
      <c r="Z1" s="42" t="s">
        <v>365</v>
      </c>
      <c r="AA1" s="42" t="s">
        <v>366</v>
      </c>
      <c r="AB1" s="42" t="s">
        <v>367</v>
      </c>
      <c r="AC1" s="42" t="s">
        <v>368</v>
      </c>
      <c r="AD1" s="42" t="s">
        <v>369</v>
      </c>
      <c r="AE1" s="42" t="s">
        <v>370</v>
      </c>
      <c r="AF1" s="42" t="s">
        <v>371</v>
      </c>
      <c r="AG1" s="42" t="s">
        <v>372</v>
      </c>
    </row>
    <row r="2" spans="1:33" hidden="1" x14ac:dyDescent="0.25">
      <c r="A2" s="11" t="s">
        <v>34</v>
      </c>
      <c r="B2" s="11"/>
    </row>
    <row r="3" spans="1:33" hidden="1" x14ac:dyDescent="0.25">
      <c r="A3" s="26" t="s">
        <v>40</v>
      </c>
      <c r="B3" s="26" t="s">
        <v>42</v>
      </c>
    </row>
    <row r="4" spans="1:33" hidden="1" x14ac:dyDescent="0.25">
      <c r="A4" s="26" t="s">
        <v>47</v>
      </c>
      <c r="B4" s="26" t="s">
        <v>42</v>
      </c>
    </row>
    <row r="5" spans="1:33" hidden="1" x14ac:dyDescent="0.25">
      <c r="A5" s="26" t="s">
        <v>49</v>
      </c>
      <c r="B5" s="26" t="s">
        <v>42</v>
      </c>
    </row>
    <row r="6" spans="1:33" hidden="1" x14ac:dyDescent="0.25">
      <c r="A6" s="26" t="s">
        <v>51</v>
      </c>
      <c r="B6" s="26" t="s">
        <v>52</v>
      </c>
    </row>
    <row r="7" spans="1:33" hidden="1" x14ac:dyDescent="0.25">
      <c r="A7" s="26" t="s">
        <v>53</v>
      </c>
      <c r="B7" s="26" t="s">
        <v>42</v>
      </c>
    </row>
    <row r="8" spans="1:33" hidden="1" x14ac:dyDescent="0.25">
      <c r="A8" s="26" t="s">
        <v>55</v>
      </c>
      <c r="B8" s="26" t="s">
        <v>42</v>
      </c>
    </row>
    <row r="9" spans="1:33" hidden="1" x14ac:dyDescent="0.25">
      <c r="A9" s="27" t="s">
        <v>58</v>
      </c>
      <c r="B9" s="27" t="s">
        <v>52</v>
      </c>
    </row>
    <row r="10" spans="1:33" hidden="1" x14ac:dyDescent="0.25">
      <c r="A10" s="26" t="s">
        <v>59</v>
      </c>
      <c r="B10" s="26" t="s">
        <v>52</v>
      </c>
    </row>
    <row r="11" spans="1:33" hidden="1" x14ac:dyDescent="0.25">
      <c r="A11" s="27" t="s">
        <v>62</v>
      </c>
      <c r="B11" s="27" t="s">
        <v>42</v>
      </c>
    </row>
    <row r="12" spans="1:33" hidden="1" x14ac:dyDescent="0.25">
      <c r="A12" s="27" t="s">
        <v>64</v>
      </c>
      <c r="B12" s="27" t="s">
        <v>37</v>
      </c>
    </row>
    <row r="13" spans="1:33" hidden="1" x14ac:dyDescent="0.25">
      <c r="A13" s="26" t="s">
        <v>65</v>
      </c>
      <c r="B13" s="26" t="s">
        <v>52</v>
      </c>
    </row>
    <row r="14" spans="1:33" hidden="1" x14ac:dyDescent="0.25">
      <c r="A14" s="26" t="s">
        <v>67</v>
      </c>
      <c r="B14" s="26" t="s">
        <v>52</v>
      </c>
    </row>
    <row r="15" spans="1:33" hidden="1" x14ac:dyDescent="0.25">
      <c r="A15" s="26" t="s">
        <v>69</v>
      </c>
      <c r="B15" s="26" t="s">
        <v>52</v>
      </c>
    </row>
    <row r="16" spans="1:33" hidden="1" x14ac:dyDescent="0.25">
      <c r="A16" s="27" t="s">
        <v>71</v>
      </c>
      <c r="B16" s="27" t="s">
        <v>37</v>
      </c>
    </row>
    <row r="17" spans="1:2" hidden="1" x14ac:dyDescent="0.25">
      <c r="A17" s="26" t="s">
        <v>73</v>
      </c>
      <c r="B17" s="26" t="s">
        <v>52</v>
      </c>
    </row>
    <row r="18" spans="1:2" hidden="1" x14ac:dyDescent="0.25">
      <c r="A18" s="26" t="s">
        <v>75</v>
      </c>
      <c r="B18" s="26" t="s">
        <v>52</v>
      </c>
    </row>
    <row r="19" spans="1:2" hidden="1" x14ac:dyDescent="0.25">
      <c r="A19" s="26" t="s">
        <v>78</v>
      </c>
      <c r="B19" s="26" t="s">
        <v>52</v>
      </c>
    </row>
    <row r="20" spans="1:2" hidden="1" x14ac:dyDescent="0.25">
      <c r="A20" s="40" t="s">
        <v>81</v>
      </c>
      <c r="B20" s="40" t="s">
        <v>42</v>
      </c>
    </row>
    <row r="21" spans="1:2" hidden="1" x14ac:dyDescent="0.25">
      <c r="A21" s="31" t="s">
        <v>85</v>
      </c>
      <c r="B21" s="31" t="s">
        <v>52</v>
      </c>
    </row>
    <row r="22" spans="1:2" hidden="1" x14ac:dyDescent="0.25">
      <c r="A22" s="31" t="s">
        <v>87</v>
      </c>
      <c r="B22" s="31" t="s">
        <v>52</v>
      </c>
    </row>
    <row r="23" spans="1:2" hidden="1" x14ac:dyDescent="0.25">
      <c r="A23" s="41" t="s">
        <v>89</v>
      </c>
      <c r="B23" s="41" t="s">
        <v>37</v>
      </c>
    </row>
    <row r="24" spans="1:2" hidden="1" x14ac:dyDescent="0.25">
      <c r="A24" s="31" t="s">
        <v>91</v>
      </c>
      <c r="B24" s="31" t="s">
        <v>52</v>
      </c>
    </row>
    <row r="25" spans="1:2" hidden="1" x14ac:dyDescent="0.25">
      <c r="A25" s="31" t="s">
        <v>94</v>
      </c>
      <c r="B25" s="31" t="s">
        <v>52</v>
      </c>
    </row>
    <row r="26" spans="1:2" hidden="1" x14ac:dyDescent="0.25">
      <c r="A26" s="31" t="s">
        <v>96</v>
      </c>
      <c r="B26" s="31" t="s">
        <v>52</v>
      </c>
    </row>
    <row r="27" spans="1:2" hidden="1" x14ac:dyDescent="0.25">
      <c r="A27" s="39" t="s">
        <v>98</v>
      </c>
      <c r="B27" s="39" t="s">
        <v>42</v>
      </c>
    </row>
    <row r="28" spans="1:2" hidden="1" x14ac:dyDescent="0.25">
      <c r="A28" s="31" t="s">
        <v>100</v>
      </c>
      <c r="B28" s="31" t="s">
        <v>42</v>
      </c>
    </row>
    <row r="29" spans="1:2" hidden="1" x14ac:dyDescent="0.25">
      <c r="A29" s="31" t="s">
        <v>102</v>
      </c>
      <c r="B29" s="31" t="s">
        <v>42</v>
      </c>
    </row>
    <row r="30" spans="1:2" hidden="1" x14ac:dyDescent="0.25">
      <c r="A30" s="31" t="s">
        <v>104</v>
      </c>
      <c r="B30" s="31" t="s">
        <v>42</v>
      </c>
    </row>
    <row r="31" spans="1:2" hidden="1" x14ac:dyDescent="0.25">
      <c r="A31" s="31" t="s">
        <v>107</v>
      </c>
      <c r="B31" s="31" t="s">
        <v>42</v>
      </c>
    </row>
    <row r="32" spans="1:2" hidden="1" x14ac:dyDescent="0.25">
      <c r="A32" s="32" t="s">
        <v>109</v>
      </c>
      <c r="B32" s="32" t="s">
        <v>37</v>
      </c>
    </row>
    <row r="33" spans="1:2" hidden="1" x14ac:dyDescent="0.25">
      <c r="A33" s="31" t="s">
        <v>112</v>
      </c>
      <c r="B33" s="31" t="s">
        <v>42</v>
      </c>
    </row>
    <row r="34" spans="1:2" hidden="1" x14ac:dyDescent="0.25">
      <c r="A34" s="31" t="s">
        <v>116</v>
      </c>
      <c r="B34" s="31" t="s">
        <v>42</v>
      </c>
    </row>
    <row r="35" spans="1:2" hidden="1" x14ac:dyDescent="0.25">
      <c r="A35" s="31" t="s">
        <v>119</v>
      </c>
      <c r="B35" s="31" t="s">
        <v>120</v>
      </c>
    </row>
    <row r="36" spans="1:2" hidden="1" x14ac:dyDescent="0.25">
      <c r="A36" s="31" t="s">
        <v>122</v>
      </c>
      <c r="B36" s="31" t="s">
        <v>42</v>
      </c>
    </row>
    <row r="37" spans="1:2" hidden="1" x14ac:dyDescent="0.25">
      <c r="A37" s="31" t="s">
        <v>125</v>
      </c>
      <c r="B37" s="31" t="s">
        <v>42</v>
      </c>
    </row>
    <row r="38" spans="1:2" hidden="1" x14ac:dyDescent="0.25">
      <c r="A38" s="31" t="s">
        <v>127</v>
      </c>
      <c r="B38" s="31" t="s">
        <v>52</v>
      </c>
    </row>
    <row r="39" spans="1:2" hidden="1" x14ac:dyDescent="0.25">
      <c r="A39" s="31" t="s">
        <v>129</v>
      </c>
      <c r="B39" s="31" t="s">
        <v>42</v>
      </c>
    </row>
    <row r="40" spans="1:2" hidden="1" x14ac:dyDescent="0.25">
      <c r="A40" s="31" t="s">
        <v>131</v>
      </c>
      <c r="B40" s="31" t="s">
        <v>42</v>
      </c>
    </row>
    <row r="41" spans="1:2" hidden="1" x14ac:dyDescent="0.25">
      <c r="A41" s="31" t="s">
        <v>134</v>
      </c>
      <c r="B41" s="31" t="s">
        <v>42</v>
      </c>
    </row>
    <row r="42" spans="1:2" hidden="1" x14ac:dyDescent="0.25">
      <c r="A42" s="32" t="s">
        <v>136</v>
      </c>
      <c r="B42" s="32" t="s">
        <v>37</v>
      </c>
    </row>
    <row r="43" spans="1:2" hidden="1" x14ac:dyDescent="0.25">
      <c r="A43" s="31" t="s">
        <v>137</v>
      </c>
      <c r="B43" s="31" t="s">
        <v>42</v>
      </c>
    </row>
    <row r="44" spans="1:2" hidden="1" x14ac:dyDescent="0.25">
      <c r="A44" s="31" t="s">
        <v>140</v>
      </c>
      <c r="B44" s="31" t="s">
        <v>52</v>
      </c>
    </row>
    <row r="45" spans="1:2" hidden="1" x14ac:dyDescent="0.25">
      <c r="A45" s="31" t="s">
        <v>143</v>
      </c>
      <c r="B45" s="31" t="s">
        <v>42</v>
      </c>
    </row>
    <row r="46" spans="1:2" hidden="1" x14ac:dyDescent="0.25">
      <c r="A46" s="31" t="s">
        <v>145</v>
      </c>
      <c r="B46" s="31" t="s">
        <v>37</v>
      </c>
    </row>
    <row r="47" spans="1:2" hidden="1" x14ac:dyDescent="0.25">
      <c r="A47" s="31" t="s">
        <v>147</v>
      </c>
      <c r="B47" s="31" t="s">
        <v>42</v>
      </c>
    </row>
    <row r="48" spans="1:2" hidden="1" x14ac:dyDescent="0.25">
      <c r="A48" s="31" t="s">
        <v>150</v>
      </c>
      <c r="B48" s="31" t="s">
        <v>42</v>
      </c>
    </row>
    <row r="49" spans="1:33" hidden="1" x14ac:dyDescent="0.25">
      <c r="A49" s="31" t="s">
        <v>152</v>
      </c>
      <c r="B49" s="31" t="s">
        <v>120</v>
      </c>
    </row>
    <row r="50" spans="1:33" hidden="1" x14ac:dyDescent="0.25">
      <c r="A50" s="31" t="s">
        <v>153</v>
      </c>
      <c r="B50" s="31" t="s">
        <v>42</v>
      </c>
    </row>
    <row r="51" spans="1:33" x14ac:dyDescent="0.25">
      <c r="A51" s="26" t="s">
        <v>156</v>
      </c>
      <c r="B51" s="31" t="s">
        <v>157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  <row r="52" spans="1:33" hidden="1" x14ac:dyDescent="0.25">
      <c r="A52" s="31" t="s">
        <v>159</v>
      </c>
      <c r="B52" s="31" t="s">
        <v>120</v>
      </c>
    </row>
    <row r="53" spans="1:33" hidden="1" x14ac:dyDescent="0.25">
      <c r="A53" s="31" t="s">
        <v>160</v>
      </c>
      <c r="B53" s="31" t="s">
        <v>52</v>
      </c>
    </row>
    <row r="54" spans="1:33" x14ac:dyDescent="0.25">
      <c r="A54" s="26" t="s">
        <v>162</v>
      </c>
      <c r="B54" s="31" t="s">
        <v>157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1.5</v>
      </c>
      <c r="K54">
        <v>0</v>
      </c>
      <c r="L54">
        <v>0</v>
      </c>
      <c r="N54">
        <v>1.5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</row>
    <row r="55" spans="1:33" hidden="1" x14ac:dyDescent="0.25">
      <c r="A55" s="31" t="s">
        <v>165</v>
      </c>
      <c r="B55" s="31" t="s">
        <v>42</v>
      </c>
    </row>
    <row r="56" spans="1:33" hidden="1" x14ac:dyDescent="0.25">
      <c r="A56" s="31" t="s">
        <v>168</v>
      </c>
      <c r="B56" s="31" t="s">
        <v>120</v>
      </c>
      <c r="C56">
        <v>0</v>
      </c>
      <c r="D56">
        <v>0</v>
      </c>
      <c r="E56">
        <v>0</v>
      </c>
      <c r="F56">
        <v>0</v>
      </c>
      <c r="G56">
        <v>1</v>
      </c>
      <c r="H56">
        <v>3</v>
      </c>
      <c r="I56">
        <v>0</v>
      </c>
      <c r="J56">
        <v>3</v>
      </c>
      <c r="K56">
        <v>1</v>
      </c>
      <c r="L56">
        <v>0</v>
      </c>
      <c r="N56">
        <v>0</v>
      </c>
      <c r="O56">
        <v>0</v>
      </c>
      <c r="P56">
        <v>2.5</v>
      </c>
      <c r="Q56">
        <v>0</v>
      </c>
      <c r="T56">
        <v>2.5</v>
      </c>
      <c r="U56">
        <v>2.5</v>
      </c>
      <c r="V56">
        <v>4.5</v>
      </c>
      <c r="W56">
        <v>4</v>
      </c>
      <c r="X56">
        <v>0</v>
      </c>
      <c r="Y56">
        <v>0</v>
      </c>
      <c r="Z56">
        <v>0</v>
      </c>
      <c r="AA56">
        <v>0</v>
      </c>
      <c r="AB56">
        <v>0</v>
      </c>
      <c r="AC56">
        <v>7</v>
      </c>
      <c r="AD56">
        <v>4.5</v>
      </c>
      <c r="AE56">
        <v>0</v>
      </c>
      <c r="AF56">
        <v>0</v>
      </c>
      <c r="AG56">
        <v>0</v>
      </c>
    </row>
    <row r="57" spans="1:33" x14ac:dyDescent="0.25">
      <c r="A57" s="26" t="s">
        <v>169</v>
      </c>
      <c r="B57" s="31" t="s">
        <v>157</v>
      </c>
      <c r="C57">
        <v>1</v>
      </c>
      <c r="D57">
        <v>1.5</v>
      </c>
      <c r="E57">
        <v>1.5</v>
      </c>
      <c r="F57">
        <v>1.5</v>
      </c>
      <c r="G57">
        <v>0</v>
      </c>
      <c r="H57">
        <v>2</v>
      </c>
      <c r="I57">
        <v>1.5</v>
      </c>
      <c r="J57">
        <v>2.5</v>
      </c>
      <c r="K57">
        <v>1.5</v>
      </c>
      <c r="L57">
        <v>0</v>
      </c>
      <c r="N57">
        <v>0</v>
      </c>
      <c r="O57">
        <v>0</v>
      </c>
      <c r="P57">
        <v>0</v>
      </c>
      <c r="Q57">
        <v>2</v>
      </c>
      <c r="R57">
        <v>0</v>
      </c>
      <c r="S57">
        <v>0</v>
      </c>
      <c r="T57">
        <v>0</v>
      </c>
      <c r="U57">
        <v>0</v>
      </c>
      <c r="V57">
        <v>2</v>
      </c>
      <c r="W57">
        <v>0</v>
      </c>
      <c r="X57">
        <v>1.5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</row>
    <row r="58" spans="1:33" hidden="1" x14ac:dyDescent="0.25">
      <c r="A58" s="31" t="s">
        <v>172</v>
      </c>
      <c r="B58" s="31" t="s">
        <v>120</v>
      </c>
    </row>
    <row r="59" spans="1:33" x14ac:dyDescent="0.25">
      <c r="A59" s="47" t="s">
        <v>174</v>
      </c>
      <c r="B59" s="31" t="s">
        <v>157</v>
      </c>
      <c r="C59">
        <v>0</v>
      </c>
      <c r="D59">
        <v>0</v>
      </c>
      <c r="E59">
        <v>0</v>
      </c>
      <c r="F59">
        <v>0</v>
      </c>
      <c r="G59">
        <v>2</v>
      </c>
      <c r="H59">
        <v>0</v>
      </c>
      <c r="I59">
        <v>0</v>
      </c>
      <c r="J59">
        <v>1</v>
      </c>
      <c r="K59">
        <v>1</v>
      </c>
      <c r="L59">
        <v>0</v>
      </c>
      <c r="N59">
        <v>2.5</v>
      </c>
      <c r="O59">
        <v>1</v>
      </c>
      <c r="P59">
        <v>0</v>
      </c>
      <c r="Q59">
        <v>0</v>
      </c>
      <c r="R59">
        <v>0</v>
      </c>
      <c r="S59">
        <v>0</v>
      </c>
      <c r="T59">
        <v>2.5</v>
      </c>
      <c r="U59">
        <v>2.5</v>
      </c>
      <c r="V59">
        <v>1</v>
      </c>
      <c r="W59">
        <v>2</v>
      </c>
      <c r="X59">
        <v>2</v>
      </c>
      <c r="Y59">
        <v>1</v>
      </c>
      <c r="Z59">
        <v>1</v>
      </c>
      <c r="AA59">
        <v>1</v>
      </c>
      <c r="AB59">
        <v>2</v>
      </c>
      <c r="AC59">
        <v>2</v>
      </c>
      <c r="AD59">
        <v>2</v>
      </c>
      <c r="AE59">
        <v>1</v>
      </c>
      <c r="AF59">
        <v>0</v>
      </c>
      <c r="AG59">
        <v>0</v>
      </c>
    </row>
    <row r="60" spans="1:33" x14ac:dyDescent="0.25">
      <c r="A60" s="26" t="s">
        <v>177</v>
      </c>
      <c r="B60" s="31" t="s">
        <v>157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</row>
    <row r="61" spans="1:33" hidden="1" x14ac:dyDescent="0.25">
      <c r="A61" s="31" t="s">
        <v>180</v>
      </c>
      <c r="B61" s="31" t="s">
        <v>120</v>
      </c>
      <c r="C61">
        <v>0</v>
      </c>
      <c r="D61">
        <v>0</v>
      </c>
      <c r="E61">
        <v>1</v>
      </c>
      <c r="F61">
        <v>1</v>
      </c>
      <c r="G61">
        <v>1.5</v>
      </c>
      <c r="H61">
        <v>1</v>
      </c>
      <c r="I61">
        <v>2</v>
      </c>
      <c r="J61">
        <v>1</v>
      </c>
      <c r="K61">
        <v>0</v>
      </c>
      <c r="L61">
        <v>0</v>
      </c>
      <c r="N61">
        <v>1</v>
      </c>
      <c r="O61">
        <v>0</v>
      </c>
      <c r="P61">
        <v>0</v>
      </c>
      <c r="Q61">
        <v>1</v>
      </c>
      <c r="R61">
        <v>0</v>
      </c>
      <c r="S61">
        <v>0</v>
      </c>
      <c r="T61">
        <v>1</v>
      </c>
      <c r="U61">
        <v>1</v>
      </c>
      <c r="V61">
        <v>0</v>
      </c>
      <c r="W61">
        <v>0</v>
      </c>
      <c r="X61">
        <v>0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</row>
    <row r="62" spans="1:33" x14ac:dyDescent="0.25">
      <c r="A62" s="47" t="s">
        <v>181</v>
      </c>
      <c r="B62" s="31" t="s">
        <v>157</v>
      </c>
      <c r="C62">
        <v>0</v>
      </c>
      <c r="D62">
        <v>2.5</v>
      </c>
      <c r="E62">
        <v>2</v>
      </c>
      <c r="F62">
        <v>0</v>
      </c>
      <c r="G62">
        <v>0</v>
      </c>
      <c r="H62">
        <v>2.5</v>
      </c>
      <c r="I62">
        <v>3</v>
      </c>
      <c r="J62">
        <v>1</v>
      </c>
      <c r="K62">
        <v>3.5</v>
      </c>
      <c r="L62">
        <v>3.5</v>
      </c>
      <c r="N62">
        <v>0</v>
      </c>
      <c r="O62">
        <v>2.5</v>
      </c>
      <c r="P62">
        <v>4</v>
      </c>
      <c r="Q62">
        <v>2.5</v>
      </c>
      <c r="R62">
        <v>1.5</v>
      </c>
      <c r="S62">
        <v>1.5</v>
      </c>
      <c r="T62">
        <v>6</v>
      </c>
      <c r="U62">
        <v>6</v>
      </c>
      <c r="V62">
        <v>0</v>
      </c>
      <c r="W62">
        <v>0</v>
      </c>
      <c r="X62">
        <v>2.5</v>
      </c>
      <c r="Y62">
        <v>0</v>
      </c>
      <c r="Z62">
        <v>0</v>
      </c>
      <c r="AA62">
        <v>0</v>
      </c>
      <c r="AB62">
        <v>0</v>
      </c>
      <c r="AC62">
        <v>3.5</v>
      </c>
      <c r="AD62">
        <v>0</v>
      </c>
      <c r="AE62">
        <v>0</v>
      </c>
      <c r="AF62">
        <v>0</v>
      </c>
      <c r="AG62">
        <v>0</v>
      </c>
    </row>
    <row r="63" spans="1:33" hidden="1" x14ac:dyDescent="0.25">
      <c r="A63" s="31" t="s">
        <v>184</v>
      </c>
      <c r="B63" s="31" t="s">
        <v>120</v>
      </c>
    </row>
    <row r="64" spans="1:33" hidden="1" x14ac:dyDescent="0.25">
      <c r="A64" s="32" t="s">
        <v>185</v>
      </c>
      <c r="B64" s="32" t="s">
        <v>120</v>
      </c>
    </row>
    <row r="65" spans="1:33" hidden="1" x14ac:dyDescent="0.25">
      <c r="A65" s="31" t="s">
        <v>186</v>
      </c>
      <c r="B65" s="31" t="s">
        <v>120</v>
      </c>
    </row>
    <row r="66" spans="1:33" x14ac:dyDescent="0.25">
      <c r="A66" s="26" t="s">
        <v>187</v>
      </c>
      <c r="B66" s="31" t="s">
        <v>157</v>
      </c>
      <c r="C66">
        <v>2</v>
      </c>
      <c r="D66">
        <v>0</v>
      </c>
      <c r="E66">
        <v>0</v>
      </c>
      <c r="F66">
        <v>0</v>
      </c>
      <c r="G66">
        <v>3</v>
      </c>
      <c r="H66">
        <v>2</v>
      </c>
      <c r="I66">
        <v>2</v>
      </c>
      <c r="J66">
        <v>1</v>
      </c>
      <c r="K66">
        <v>0</v>
      </c>
      <c r="L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3</v>
      </c>
      <c r="AA66">
        <v>3</v>
      </c>
      <c r="AB66">
        <v>0</v>
      </c>
      <c r="AC66">
        <v>2</v>
      </c>
      <c r="AD66">
        <v>2</v>
      </c>
      <c r="AE66">
        <v>1</v>
      </c>
      <c r="AF66">
        <v>0</v>
      </c>
      <c r="AG66">
        <v>0</v>
      </c>
    </row>
    <row r="67" spans="1:33" hidden="1" x14ac:dyDescent="0.25">
      <c r="A67" s="31" t="s">
        <v>190</v>
      </c>
      <c r="B67" s="31" t="s">
        <v>120</v>
      </c>
    </row>
    <row r="68" spans="1:33" x14ac:dyDescent="0.25">
      <c r="A68" s="26" t="s">
        <v>194</v>
      </c>
      <c r="B68" s="31" t="s">
        <v>157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1.5</v>
      </c>
      <c r="J68">
        <v>0</v>
      </c>
      <c r="K68">
        <v>0</v>
      </c>
      <c r="L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</row>
    <row r="69" spans="1:33" x14ac:dyDescent="0.25">
      <c r="A69" s="47" t="s">
        <v>197</v>
      </c>
      <c r="B69" s="31" t="s">
        <v>157</v>
      </c>
      <c r="C69">
        <v>1</v>
      </c>
      <c r="D69">
        <v>1</v>
      </c>
      <c r="E69">
        <v>2</v>
      </c>
      <c r="F69">
        <v>2</v>
      </c>
      <c r="G69">
        <v>2</v>
      </c>
      <c r="H69">
        <v>2</v>
      </c>
      <c r="I69">
        <v>2</v>
      </c>
      <c r="J69">
        <v>3</v>
      </c>
      <c r="K69">
        <v>2</v>
      </c>
      <c r="L69">
        <v>0</v>
      </c>
      <c r="N69">
        <v>1</v>
      </c>
      <c r="O69">
        <v>0</v>
      </c>
      <c r="P69">
        <v>1.5</v>
      </c>
      <c r="Q69">
        <v>1.5</v>
      </c>
      <c r="R69">
        <v>3</v>
      </c>
      <c r="S69">
        <v>3</v>
      </c>
      <c r="T69">
        <v>7</v>
      </c>
      <c r="U69">
        <v>7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4</v>
      </c>
      <c r="AE69">
        <v>4</v>
      </c>
      <c r="AF69">
        <v>0</v>
      </c>
      <c r="AG69">
        <v>0</v>
      </c>
    </row>
    <row r="70" spans="1:33" x14ac:dyDescent="0.25">
      <c r="A70" s="26" t="s">
        <v>200</v>
      </c>
      <c r="B70" s="31" t="s">
        <v>157</v>
      </c>
      <c r="C70">
        <v>0</v>
      </c>
      <c r="D70">
        <v>0</v>
      </c>
      <c r="E70">
        <v>0</v>
      </c>
      <c r="F70">
        <v>0</v>
      </c>
      <c r="G70">
        <v>2.5</v>
      </c>
      <c r="H70">
        <v>0</v>
      </c>
      <c r="I70">
        <v>0</v>
      </c>
      <c r="J70">
        <v>0</v>
      </c>
      <c r="K70">
        <v>0</v>
      </c>
      <c r="L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1.5</v>
      </c>
      <c r="AA70">
        <v>1.5</v>
      </c>
      <c r="AB70">
        <v>1.5</v>
      </c>
      <c r="AC70">
        <v>0</v>
      </c>
      <c r="AD70">
        <v>2</v>
      </c>
      <c r="AE70">
        <v>2</v>
      </c>
      <c r="AF70">
        <v>1</v>
      </c>
      <c r="AG70">
        <v>0</v>
      </c>
    </row>
    <row r="71" spans="1:33" x14ac:dyDescent="0.25">
      <c r="A71" s="26" t="s">
        <v>204</v>
      </c>
      <c r="B71" s="31" t="s">
        <v>157</v>
      </c>
      <c r="C71">
        <v>0</v>
      </c>
      <c r="D71">
        <v>0</v>
      </c>
      <c r="E71">
        <v>2</v>
      </c>
      <c r="F71">
        <v>0</v>
      </c>
      <c r="G71">
        <v>3</v>
      </c>
      <c r="H71">
        <v>0</v>
      </c>
      <c r="I71">
        <v>3.5</v>
      </c>
      <c r="J71">
        <v>0</v>
      </c>
      <c r="K71">
        <v>0</v>
      </c>
      <c r="L71">
        <v>0</v>
      </c>
      <c r="N71">
        <v>2</v>
      </c>
      <c r="O71">
        <v>3</v>
      </c>
      <c r="P71">
        <v>2.5</v>
      </c>
      <c r="Q71">
        <v>0</v>
      </c>
      <c r="R71">
        <v>0</v>
      </c>
      <c r="S71">
        <v>0</v>
      </c>
      <c r="T71">
        <v>0</v>
      </c>
      <c r="U71">
        <v>0</v>
      </c>
      <c r="V71">
        <v>3</v>
      </c>
      <c r="W71">
        <v>2</v>
      </c>
      <c r="X71">
        <v>0</v>
      </c>
      <c r="Y71">
        <v>2.5</v>
      </c>
      <c r="Z71">
        <v>2.5</v>
      </c>
      <c r="AA71">
        <v>2.5</v>
      </c>
      <c r="AB71">
        <v>2.5</v>
      </c>
      <c r="AC71">
        <v>2.5</v>
      </c>
      <c r="AD71">
        <v>2.5</v>
      </c>
      <c r="AE71">
        <v>6</v>
      </c>
      <c r="AF71">
        <v>0</v>
      </c>
      <c r="AG71">
        <v>5</v>
      </c>
    </row>
    <row r="72" spans="1:33" x14ac:dyDescent="0.25">
      <c r="A72" s="26" t="s">
        <v>206</v>
      </c>
      <c r="B72" s="31" t="s">
        <v>157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N72">
        <v>3.5</v>
      </c>
      <c r="O72">
        <v>1</v>
      </c>
      <c r="P72">
        <v>0.5</v>
      </c>
      <c r="Q72">
        <v>2</v>
      </c>
      <c r="R72">
        <v>0</v>
      </c>
      <c r="S72">
        <v>0</v>
      </c>
      <c r="T72">
        <v>0</v>
      </c>
      <c r="U72">
        <v>0</v>
      </c>
      <c r="V72">
        <v>2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</row>
    <row r="73" spans="1:33" x14ac:dyDescent="0.25">
      <c r="A73" s="26" t="s">
        <v>209</v>
      </c>
      <c r="B73" s="31" t="s">
        <v>157</v>
      </c>
      <c r="C73">
        <v>0.5</v>
      </c>
      <c r="D73">
        <v>0</v>
      </c>
      <c r="E73">
        <v>0</v>
      </c>
      <c r="F73">
        <v>0</v>
      </c>
      <c r="G73">
        <v>2.5</v>
      </c>
      <c r="H73">
        <v>5</v>
      </c>
      <c r="I73">
        <v>4</v>
      </c>
      <c r="J73">
        <v>0</v>
      </c>
      <c r="K73">
        <v>1</v>
      </c>
      <c r="L73">
        <v>0</v>
      </c>
      <c r="N73">
        <v>2</v>
      </c>
      <c r="O73">
        <v>2</v>
      </c>
      <c r="P73">
        <v>0</v>
      </c>
      <c r="Q73">
        <v>0</v>
      </c>
      <c r="R73">
        <v>1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</row>
    <row r="74" spans="1:33" x14ac:dyDescent="0.25">
      <c r="A74" s="26" t="s">
        <v>212</v>
      </c>
      <c r="B74" s="11" t="s">
        <v>157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1</v>
      </c>
      <c r="AG74">
        <v>0</v>
      </c>
    </row>
    <row r="75" spans="1:33" x14ac:dyDescent="0.25">
      <c r="A75" s="47" t="s">
        <v>215</v>
      </c>
      <c r="B75" s="11" t="s">
        <v>157</v>
      </c>
      <c r="C75">
        <v>0</v>
      </c>
      <c r="D75">
        <v>0</v>
      </c>
      <c r="E75">
        <v>0</v>
      </c>
      <c r="F75">
        <v>6</v>
      </c>
      <c r="G75">
        <v>7</v>
      </c>
      <c r="H75">
        <v>6</v>
      </c>
      <c r="I75">
        <v>7.5</v>
      </c>
      <c r="J75">
        <v>5</v>
      </c>
      <c r="K75">
        <v>9</v>
      </c>
      <c r="L75">
        <v>3</v>
      </c>
      <c r="M75">
        <v>4</v>
      </c>
      <c r="N75">
        <v>5</v>
      </c>
      <c r="O75">
        <v>0</v>
      </c>
      <c r="P75">
        <v>2</v>
      </c>
      <c r="Q75">
        <v>5</v>
      </c>
      <c r="R75">
        <v>2</v>
      </c>
      <c r="S75">
        <v>4</v>
      </c>
      <c r="T75">
        <v>8</v>
      </c>
      <c r="U75">
        <v>8</v>
      </c>
      <c r="V75">
        <v>6</v>
      </c>
      <c r="Y75">
        <v>4</v>
      </c>
      <c r="Z75">
        <v>3</v>
      </c>
      <c r="AA75">
        <v>4</v>
      </c>
      <c r="AB75">
        <v>5</v>
      </c>
      <c r="AC75">
        <v>9</v>
      </c>
      <c r="AD75">
        <v>8</v>
      </c>
      <c r="AE75">
        <v>9</v>
      </c>
      <c r="AF75">
        <v>5</v>
      </c>
      <c r="AG75">
        <v>9</v>
      </c>
    </row>
    <row r="77" spans="1:33" x14ac:dyDescent="0.25">
      <c r="A77" t="s">
        <v>274</v>
      </c>
      <c r="C77" s="43">
        <f t="shared" ref="C77:L77" si="0">AVERAGE(C51:C73)</f>
        <v>0.3</v>
      </c>
      <c r="D77" s="43">
        <f t="shared" si="0"/>
        <v>0.33333333333333331</v>
      </c>
      <c r="E77" s="43">
        <f t="shared" si="0"/>
        <v>0.56666666666666665</v>
      </c>
      <c r="F77" s="43">
        <f t="shared" si="0"/>
        <v>0.3</v>
      </c>
      <c r="G77" s="43">
        <f t="shared" si="0"/>
        <v>1.1666666666666667</v>
      </c>
      <c r="H77" s="43">
        <f t="shared" si="0"/>
        <v>1.1666666666666667</v>
      </c>
      <c r="I77" s="43">
        <f t="shared" si="0"/>
        <v>1.3</v>
      </c>
      <c r="J77" s="43">
        <f t="shared" si="0"/>
        <v>0.93333333333333335</v>
      </c>
      <c r="K77" s="43">
        <f t="shared" si="0"/>
        <v>0.66666666666666663</v>
      </c>
      <c r="L77" s="43">
        <f t="shared" si="0"/>
        <v>0.23333333333333334</v>
      </c>
      <c r="M77" s="43"/>
      <c r="N77" s="43">
        <f>AVERAGE(N51:N73)</f>
        <v>0.9</v>
      </c>
      <c r="O77" s="43">
        <f>AVERAGE(O51:O73)</f>
        <v>0.6333333333333333</v>
      </c>
      <c r="P77" s="43">
        <f>AVERAGE(P51:P73)</f>
        <v>0.73333333333333328</v>
      </c>
      <c r="Q77" s="43">
        <f>AVERAGE(Q51:Q73)</f>
        <v>0.66666666666666663</v>
      </c>
      <c r="R77" s="43">
        <f>AVERAGE(R51:R75)</f>
        <v>0.46875</v>
      </c>
      <c r="S77" s="43">
        <f>AVERAGE(S51:S75)</f>
        <v>0.59375</v>
      </c>
      <c r="T77" s="43">
        <f>AVERAGE(T51:T75)</f>
        <v>1.588235294117647</v>
      </c>
      <c r="U77" s="43">
        <f>AVERAGE(U51:U75)</f>
        <v>1.588235294117647</v>
      </c>
      <c r="V77" s="43">
        <f t="shared" ref="V77:AG77" si="1">AVERAGE(V51:V73)</f>
        <v>0.9</v>
      </c>
      <c r="W77" s="43">
        <f t="shared" si="1"/>
        <v>0.53333333333333333</v>
      </c>
      <c r="X77" s="43">
        <f t="shared" si="1"/>
        <v>0.46666666666666667</v>
      </c>
      <c r="Y77" s="43">
        <f t="shared" si="1"/>
        <v>0.26666666666666666</v>
      </c>
      <c r="Z77" s="43">
        <f t="shared" si="1"/>
        <v>0.56666666666666665</v>
      </c>
      <c r="AA77" s="43">
        <f t="shared" si="1"/>
        <v>0.56666666666666665</v>
      </c>
      <c r="AB77" s="43">
        <f t="shared" si="1"/>
        <v>0.5</v>
      </c>
      <c r="AC77" s="43">
        <f t="shared" si="1"/>
        <v>1.1666666666666667</v>
      </c>
      <c r="AD77" s="43">
        <f t="shared" si="1"/>
        <v>1.1666666666666667</v>
      </c>
      <c r="AE77" s="43">
        <f t="shared" si="1"/>
        <v>0.96666666666666667</v>
      </c>
      <c r="AF77" s="43">
        <f t="shared" si="1"/>
        <v>0.1</v>
      </c>
      <c r="AG77" s="43">
        <f t="shared" si="1"/>
        <v>0.36666666666666664</v>
      </c>
    </row>
    <row r="78" spans="1:33" x14ac:dyDescent="0.25">
      <c r="A78" t="s">
        <v>373</v>
      </c>
      <c r="C78" s="43">
        <f t="shared" ref="C78:L78" si="2">MEDIAN(C51:C73)</f>
        <v>0</v>
      </c>
      <c r="D78" s="43">
        <f t="shared" si="2"/>
        <v>0</v>
      </c>
      <c r="E78" s="43">
        <f t="shared" si="2"/>
        <v>0</v>
      </c>
      <c r="F78" s="43">
        <f t="shared" si="2"/>
        <v>0</v>
      </c>
      <c r="G78" s="43">
        <f t="shared" si="2"/>
        <v>1</v>
      </c>
      <c r="H78" s="43">
        <f t="shared" si="2"/>
        <v>0</v>
      </c>
      <c r="I78" s="43">
        <f t="shared" si="2"/>
        <v>1.5</v>
      </c>
      <c r="J78" s="43">
        <f t="shared" si="2"/>
        <v>1</v>
      </c>
      <c r="K78" s="43">
        <f t="shared" si="2"/>
        <v>0</v>
      </c>
      <c r="L78" s="43">
        <f t="shared" si="2"/>
        <v>0</v>
      </c>
      <c r="M78" s="43"/>
      <c r="N78" s="43">
        <f>MEDIAN(N51:N73)</f>
        <v>0</v>
      </c>
      <c r="O78" s="43">
        <f>MEDIAN(O51:O73)</f>
        <v>0</v>
      </c>
      <c r="P78" s="43">
        <f>MEDIAN(P51:P73)</f>
        <v>0</v>
      </c>
      <c r="Q78" s="43">
        <f>MEDIAN(Q51:Q73)</f>
        <v>0</v>
      </c>
      <c r="R78" s="43">
        <f>MEDIAN(R51:R75)</f>
        <v>0</v>
      </c>
      <c r="S78" s="43">
        <f>MEDIAN(S51:S75)</f>
        <v>0</v>
      </c>
      <c r="T78" s="43">
        <f>MEDIAN(T51:T75)</f>
        <v>0</v>
      </c>
      <c r="U78" s="43">
        <f>MEDIAN(U51:U75)</f>
        <v>0</v>
      </c>
      <c r="V78" s="43">
        <f t="shared" ref="V78:AG78" si="3">MEDIAN(V51:V73)</f>
        <v>0</v>
      </c>
      <c r="W78" s="43">
        <f t="shared" si="3"/>
        <v>0</v>
      </c>
      <c r="X78" s="43">
        <f t="shared" si="3"/>
        <v>0</v>
      </c>
      <c r="Y78" s="43">
        <f t="shared" si="3"/>
        <v>0</v>
      </c>
      <c r="Z78" s="43">
        <f t="shared" si="3"/>
        <v>0</v>
      </c>
      <c r="AA78" s="43">
        <f t="shared" si="3"/>
        <v>0</v>
      </c>
      <c r="AB78" s="43">
        <f t="shared" si="3"/>
        <v>0</v>
      </c>
      <c r="AC78" s="43">
        <f t="shared" si="3"/>
        <v>0</v>
      </c>
      <c r="AD78" s="43">
        <f t="shared" si="3"/>
        <v>0</v>
      </c>
      <c r="AE78" s="43">
        <f t="shared" si="3"/>
        <v>0</v>
      </c>
      <c r="AF78" s="43">
        <f t="shared" si="3"/>
        <v>0</v>
      </c>
      <c r="AG78" s="43">
        <f t="shared" si="3"/>
        <v>0</v>
      </c>
    </row>
    <row r="79" spans="1:33" x14ac:dyDescent="0.25">
      <c r="A79" t="s">
        <v>278</v>
      </c>
      <c r="R79" s="43">
        <f>MAX(R51:R75)</f>
        <v>3</v>
      </c>
      <c r="S79" s="43">
        <f>MAX(S51:S75)</f>
        <v>4</v>
      </c>
      <c r="T79" s="43">
        <f>MAX(T51:T75)</f>
        <v>8</v>
      </c>
      <c r="U79" s="43">
        <f>MAX(U51:U75)</f>
        <v>8</v>
      </c>
    </row>
    <row r="80" spans="1:33" x14ac:dyDescent="0.25">
      <c r="A80" t="s">
        <v>374</v>
      </c>
      <c r="R80" s="43">
        <f>_xlfn.STDEV.S(R51:R75)</f>
        <v>0.9213893494789992</v>
      </c>
      <c r="S80" s="43">
        <f>_xlfn.STDEV.S(S51:S75)</f>
        <v>1.2277180729575772</v>
      </c>
      <c r="T80" s="43">
        <f>_xlfn.STDEV.S(T51:T75)</f>
        <v>2.7342463205015877</v>
      </c>
      <c r="U80" s="43">
        <f>_xlfn.STDEV.S(U51:U75)</f>
        <v>2.7342463205015877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1"/>
  <sheetViews>
    <sheetView workbookViewId="0">
      <selection activeCell="N13" sqref="N13"/>
    </sheetView>
  </sheetViews>
  <sheetFormatPr defaultColWidth="8.7109375" defaultRowHeight="15" x14ac:dyDescent="0.25"/>
  <sheetData>
    <row r="1" spans="1:5" x14ac:dyDescent="0.25">
      <c r="A1" t="s">
        <v>0</v>
      </c>
      <c r="B1" t="s">
        <v>403</v>
      </c>
      <c r="C1" t="s">
        <v>404</v>
      </c>
      <c r="D1" t="s">
        <v>405</v>
      </c>
      <c r="E1" t="s">
        <v>406</v>
      </c>
    </row>
    <row r="2" spans="1:5" x14ac:dyDescent="0.25">
      <c r="A2" s="1" t="s">
        <v>215</v>
      </c>
      <c r="B2" s="52">
        <f>24/53</f>
        <v>0.45283018867924529</v>
      </c>
      <c r="C2" s="52">
        <f>19/53</f>
        <v>0.35849056603773582</v>
      </c>
      <c r="D2" s="52">
        <f>23/60</f>
        <v>0.38333333333333336</v>
      </c>
      <c r="E2" s="52">
        <f>23/46</f>
        <v>0.5</v>
      </c>
    </row>
    <row r="3" spans="1:5" x14ac:dyDescent="0.25">
      <c r="A3" s="1" t="s">
        <v>212</v>
      </c>
      <c r="B3" s="52">
        <f>23/52</f>
        <v>0.44230769230769229</v>
      </c>
      <c r="C3" s="52">
        <f>20/52</f>
        <v>0.38461538461538464</v>
      </c>
      <c r="D3" s="52">
        <f>23/43</f>
        <v>0.53488372093023251</v>
      </c>
      <c r="E3" s="52">
        <f>20.5/41</f>
        <v>0.5</v>
      </c>
    </row>
    <row r="4" spans="1:5" x14ac:dyDescent="0.25">
      <c r="A4" s="1" t="s">
        <v>206</v>
      </c>
      <c r="B4" s="52">
        <f>19/43</f>
        <v>0.44186046511627908</v>
      </c>
      <c r="C4" s="52">
        <f>24/43</f>
        <v>0.55813953488372092</v>
      </c>
      <c r="D4" s="52">
        <f>20/43</f>
        <v>0.46511627906976744</v>
      </c>
      <c r="E4" s="52">
        <f>20/40</f>
        <v>0.5</v>
      </c>
    </row>
    <row r="5" spans="1:5" x14ac:dyDescent="0.25">
      <c r="A5" s="1" t="s">
        <v>204</v>
      </c>
      <c r="B5" s="52">
        <f>28/51</f>
        <v>0.5490196078431373</v>
      </c>
      <c r="C5" s="52">
        <f>23/51</f>
        <v>0.45098039215686275</v>
      </c>
      <c r="D5" s="52">
        <f>18/42</f>
        <v>0.42857142857142855</v>
      </c>
      <c r="E5" s="52">
        <f>18/40</f>
        <v>0.45</v>
      </c>
    </row>
    <row r="6" spans="1:5" x14ac:dyDescent="0.25">
      <c r="A6" s="1" t="s">
        <v>197</v>
      </c>
      <c r="B6" s="52">
        <f>27/46</f>
        <v>0.58695652173913049</v>
      </c>
      <c r="C6" s="52">
        <f>23/46</f>
        <v>0.5</v>
      </c>
      <c r="D6" s="52">
        <f>20/45</f>
        <v>0.44444444444444442</v>
      </c>
      <c r="E6" s="52">
        <f>20/45</f>
        <v>0.44444444444444442</v>
      </c>
    </row>
    <row r="7" spans="1:5" x14ac:dyDescent="0.25">
      <c r="A7" s="1" t="s">
        <v>194</v>
      </c>
      <c r="B7" s="52">
        <f>24/49</f>
        <v>0.48979591836734693</v>
      </c>
      <c r="C7" s="52">
        <f>27/49</f>
        <v>0.55102040816326525</v>
      </c>
      <c r="D7" s="52">
        <f>18/46</f>
        <v>0.39130434782608697</v>
      </c>
      <c r="E7" s="52">
        <f>18/44</f>
        <v>0.40909090909090912</v>
      </c>
    </row>
    <row r="8" spans="1:5" x14ac:dyDescent="0.25">
      <c r="A8" s="1" t="s">
        <v>190</v>
      </c>
      <c r="B8" s="52">
        <f>25/48</f>
        <v>0.52083333333333337</v>
      </c>
      <c r="C8" s="52">
        <f>17/48</f>
        <v>0.35416666666666669</v>
      </c>
      <c r="D8" s="52">
        <f>19/40</f>
        <v>0.47499999999999998</v>
      </c>
      <c r="E8" s="52">
        <f>20/39</f>
        <v>0.51282051282051277</v>
      </c>
    </row>
    <row r="9" spans="1:5" x14ac:dyDescent="0.25">
      <c r="A9" s="1" t="s">
        <v>185</v>
      </c>
      <c r="B9" s="52">
        <f>32/52</f>
        <v>0.61538461538461542</v>
      </c>
      <c r="C9" s="52">
        <f>26/52</f>
        <v>0.5</v>
      </c>
      <c r="D9" s="52">
        <f>21/43</f>
        <v>0.48837209302325579</v>
      </c>
      <c r="E9" s="52">
        <f>21/42</f>
        <v>0.5</v>
      </c>
    </row>
    <row r="10" spans="1:5" x14ac:dyDescent="0.25">
      <c r="A10" t="s">
        <v>274</v>
      </c>
      <c r="B10" s="52">
        <f>AVERAGE(B2:B9)</f>
        <v>0.51237354284634762</v>
      </c>
      <c r="C10" s="52">
        <f>AVERAGE(C2:C9)</f>
        <v>0.45717661906545448</v>
      </c>
      <c r="D10" s="52">
        <f>AVERAGE(D2:D9)</f>
        <v>0.45137820589981864</v>
      </c>
      <c r="E10" s="52">
        <f>AVERAGE(E2:E9)</f>
        <v>0.47704448329448329</v>
      </c>
    </row>
    <row r="11" spans="1:5" x14ac:dyDescent="0.25">
      <c r="A11" t="s">
        <v>407</v>
      </c>
      <c r="B11" s="52">
        <f>_xlfn.STDEV.S(B2:B9)</f>
        <v>6.7108527918900707E-2</v>
      </c>
      <c r="C11" s="52">
        <f>_xlfn.STDEV.S(C2:C9)</f>
        <v>8.3084607789119261E-2</v>
      </c>
      <c r="D11" s="52">
        <f>_xlfn.STDEV.S(D2:D9)</f>
        <v>5.0562043616035605E-2</v>
      </c>
      <c r="E11" s="52">
        <f>_xlfn.STDEV.S(E2:E9)</f>
        <v>3.7415814330777779E-2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Demographics</vt:lpstr>
      <vt:lpstr>Next steps</vt:lpstr>
      <vt:lpstr>Marker weighings</vt:lpstr>
      <vt:lpstr>Processing</vt:lpstr>
      <vt:lpstr>Events</vt:lpstr>
      <vt:lpstr>PreviousTreatments</vt:lpstr>
      <vt:lpstr>iHOT</vt:lpstr>
      <vt:lpstr>HAGOS</vt:lpstr>
      <vt:lpstr>Pain</vt:lpstr>
      <vt:lpstr>Add&amp;GracEMGLocation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Basilio Goncalves</dc:creator>
  <cp:lastModifiedBy>Basílio Gonçalves</cp:lastModifiedBy>
  <dcterms:created xsi:type="dcterms:W3CDTF">2019-06-26T04:55:07Z</dcterms:created>
  <dcterms:modified xsi:type="dcterms:W3CDTF">2025-10-02T09:44:11Z</dcterms:modified>
</cp:coreProperties>
</file>